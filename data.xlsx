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Planning AI\Data\"/>
    </mc:Choice>
  </mc:AlternateContent>
  <xr:revisionPtr revIDLastSave="0" documentId="8_{544388F9-2BDE-4346-BC0E-DC7A50A01757}" xr6:coauthVersionLast="36" xr6:coauthVersionMax="36" xr10:uidLastSave="{00000000-0000-0000-0000-000000000000}"/>
  <bookViews>
    <workbookView xWindow="0" yWindow="0" windowWidth="21570" windowHeight="7890"/>
  </bookViews>
  <sheets>
    <sheet name="SQLT0010" sheetId="1" r:id="rId1"/>
  </sheets>
  <calcPr calcId="0"/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F1" i="1"/>
  <c r="G1" i="1"/>
  <c r="H1" i="1"/>
  <c r="I1" i="1"/>
  <c r="J1" i="1"/>
  <c r="A2" i="1"/>
  <c r="B2" i="1"/>
  <c r="C2" i="1"/>
  <c r="D2" i="1"/>
  <c r="G2" i="1"/>
  <c r="H2" i="1"/>
  <c r="I2" i="1"/>
  <c r="J2" i="1"/>
  <c r="A3" i="1"/>
  <c r="B3" i="1"/>
  <c r="C3" i="1"/>
  <c r="D3" i="1"/>
  <c r="G3" i="1"/>
  <c r="H3" i="1"/>
  <c r="I3" i="1"/>
  <c r="J3" i="1"/>
  <c r="A4" i="1"/>
  <c r="B4" i="1"/>
  <c r="C4" i="1"/>
  <c r="D4" i="1"/>
  <c r="G4" i="1"/>
  <c r="H4" i="1"/>
  <c r="I4" i="1"/>
  <c r="J4" i="1"/>
  <c r="A5" i="1"/>
  <c r="B5" i="1"/>
  <c r="C5" i="1"/>
  <c r="D5" i="1"/>
  <c r="G5" i="1"/>
  <c r="H5" i="1"/>
  <c r="I5" i="1"/>
  <c r="J5" i="1"/>
  <c r="A6" i="1"/>
  <c r="B6" i="1"/>
  <c r="C6" i="1"/>
  <c r="D6" i="1"/>
  <c r="G6" i="1"/>
  <c r="H6" i="1"/>
  <c r="I6" i="1"/>
  <c r="J6" i="1"/>
  <c r="A7" i="1"/>
  <c r="B7" i="1"/>
  <c r="C7" i="1"/>
  <c r="D7" i="1"/>
  <c r="G7" i="1"/>
  <c r="H7" i="1"/>
  <c r="I7" i="1"/>
  <c r="J7" i="1"/>
  <c r="A8" i="1"/>
  <c r="B8" i="1"/>
  <c r="C8" i="1"/>
  <c r="D8" i="1"/>
  <c r="G8" i="1"/>
  <c r="H8" i="1"/>
  <c r="I8" i="1"/>
  <c r="J8" i="1"/>
  <c r="A9" i="1"/>
  <c r="B9" i="1"/>
  <c r="C9" i="1"/>
  <c r="D9" i="1"/>
  <c r="G9" i="1"/>
  <c r="H9" i="1"/>
  <c r="I9" i="1"/>
  <c r="J9" i="1"/>
  <c r="A10" i="1"/>
  <c r="B10" i="1"/>
  <c r="C10" i="1"/>
  <c r="D10" i="1"/>
  <c r="G10" i="1"/>
  <c r="H10" i="1"/>
  <c r="I10" i="1"/>
  <c r="J10" i="1"/>
  <c r="A11" i="1"/>
  <c r="B11" i="1"/>
  <c r="C11" i="1"/>
  <c r="D11" i="1"/>
  <c r="G11" i="1"/>
  <c r="H11" i="1"/>
  <c r="I11" i="1"/>
  <c r="J11" i="1"/>
  <c r="A12" i="1"/>
  <c r="B12" i="1"/>
  <c r="C12" i="1"/>
  <c r="D12" i="1"/>
  <c r="G12" i="1"/>
  <c r="H12" i="1"/>
  <c r="I12" i="1"/>
  <c r="J12" i="1"/>
  <c r="A13" i="1"/>
  <c r="B13" i="1"/>
  <c r="C13" i="1"/>
  <c r="D13" i="1"/>
  <c r="G13" i="1"/>
  <c r="H13" i="1"/>
  <c r="I13" i="1"/>
  <c r="J13" i="1"/>
  <c r="A14" i="1"/>
  <c r="B14" i="1"/>
  <c r="C14" i="1"/>
  <c r="D14" i="1"/>
  <c r="G14" i="1"/>
  <c r="H14" i="1"/>
  <c r="I14" i="1"/>
  <c r="J14" i="1"/>
  <c r="A15" i="1"/>
  <c r="B15" i="1"/>
  <c r="C15" i="1"/>
  <c r="D15" i="1"/>
  <c r="G15" i="1"/>
  <c r="H15" i="1"/>
  <c r="I15" i="1"/>
  <c r="J15" i="1"/>
  <c r="A16" i="1"/>
  <c r="B16" i="1"/>
  <c r="C16" i="1"/>
  <c r="D16" i="1"/>
  <c r="G16" i="1"/>
  <c r="H16" i="1"/>
  <c r="I16" i="1"/>
  <c r="J16" i="1"/>
  <c r="A17" i="1"/>
  <c r="B17" i="1"/>
  <c r="C17" i="1"/>
  <c r="D17" i="1"/>
  <c r="G17" i="1"/>
  <c r="H17" i="1"/>
  <c r="I17" i="1"/>
  <c r="J17" i="1"/>
  <c r="A18" i="1"/>
  <c r="B18" i="1"/>
  <c r="C18" i="1"/>
  <c r="D18" i="1"/>
  <c r="G18" i="1"/>
  <c r="H18" i="1"/>
  <c r="I18" i="1"/>
  <c r="J18" i="1"/>
  <c r="A19" i="1"/>
  <c r="B19" i="1"/>
  <c r="C19" i="1"/>
  <c r="D19" i="1"/>
  <c r="G19" i="1"/>
  <c r="H19" i="1"/>
  <c r="I19" i="1"/>
  <c r="J19" i="1"/>
  <c r="A20" i="1"/>
  <c r="B20" i="1"/>
  <c r="C20" i="1"/>
  <c r="D20" i="1"/>
  <c r="G20" i="1"/>
  <c r="H20" i="1"/>
  <c r="I20" i="1"/>
  <c r="J20" i="1"/>
  <c r="A21" i="1"/>
  <c r="B21" i="1"/>
  <c r="C21" i="1"/>
  <c r="D21" i="1"/>
  <c r="G21" i="1"/>
  <c r="H21" i="1"/>
  <c r="I21" i="1"/>
  <c r="J21" i="1"/>
  <c r="A22" i="1"/>
  <c r="B22" i="1"/>
  <c r="C22" i="1"/>
  <c r="D22" i="1"/>
  <c r="G22" i="1"/>
  <c r="H22" i="1"/>
  <c r="I22" i="1"/>
  <c r="J22" i="1"/>
  <c r="A23" i="1"/>
  <c r="B23" i="1"/>
  <c r="C23" i="1"/>
  <c r="D23" i="1"/>
  <c r="G23" i="1"/>
  <c r="H23" i="1"/>
  <c r="I23" i="1"/>
  <c r="J23" i="1"/>
  <c r="A24" i="1"/>
  <c r="B24" i="1"/>
  <c r="C24" i="1"/>
  <c r="D24" i="1"/>
  <c r="G24" i="1"/>
  <c r="H24" i="1"/>
  <c r="I24" i="1"/>
  <c r="J24" i="1"/>
  <c r="A25" i="1"/>
  <c r="B25" i="1"/>
  <c r="C25" i="1"/>
  <c r="D25" i="1"/>
  <c r="G25" i="1"/>
  <c r="H25" i="1"/>
  <c r="I25" i="1"/>
  <c r="J25" i="1"/>
  <c r="A26" i="1"/>
  <c r="B26" i="1"/>
  <c r="C26" i="1"/>
  <c r="D26" i="1"/>
  <c r="G26" i="1"/>
  <c r="H26" i="1"/>
  <c r="I26" i="1"/>
  <c r="J26" i="1"/>
  <c r="A27" i="1"/>
  <c r="B27" i="1"/>
  <c r="C27" i="1"/>
  <c r="D27" i="1"/>
  <c r="G27" i="1"/>
  <c r="H27" i="1"/>
  <c r="I27" i="1"/>
  <c r="J27" i="1"/>
  <c r="A28" i="1"/>
  <c r="B28" i="1"/>
  <c r="C28" i="1"/>
  <c r="D28" i="1"/>
  <c r="G28" i="1"/>
  <c r="H28" i="1"/>
  <c r="I28" i="1"/>
  <c r="J28" i="1"/>
  <c r="A29" i="1"/>
  <c r="B29" i="1"/>
  <c r="C29" i="1"/>
  <c r="D29" i="1"/>
  <c r="G29" i="1"/>
  <c r="H29" i="1"/>
  <c r="I29" i="1"/>
  <c r="J29" i="1"/>
  <c r="A30" i="1"/>
  <c r="B30" i="1"/>
  <c r="C30" i="1"/>
  <c r="D30" i="1"/>
  <c r="G30" i="1"/>
  <c r="H30" i="1"/>
  <c r="I30" i="1"/>
  <c r="J30" i="1"/>
  <c r="A31" i="1"/>
  <c r="B31" i="1"/>
  <c r="C31" i="1"/>
  <c r="D31" i="1"/>
  <c r="G31" i="1"/>
  <c r="H31" i="1"/>
  <c r="I31" i="1"/>
  <c r="J31" i="1"/>
  <c r="A32" i="1"/>
  <c r="B32" i="1"/>
  <c r="C32" i="1"/>
  <c r="D32" i="1"/>
  <c r="G32" i="1"/>
  <c r="H32" i="1"/>
  <c r="I32" i="1"/>
  <c r="J32" i="1"/>
  <c r="A33" i="1"/>
  <c r="B33" i="1"/>
  <c r="C33" i="1"/>
  <c r="D33" i="1"/>
  <c r="G33" i="1"/>
  <c r="H33" i="1"/>
  <c r="I33" i="1"/>
  <c r="J33" i="1"/>
  <c r="A34" i="1"/>
  <c r="B34" i="1"/>
  <c r="C34" i="1"/>
  <c r="D34" i="1"/>
  <c r="G34" i="1"/>
  <c r="H34" i="1"/>
  <c r="I34" i="1"/>
  <c r="J34" i="1"/>
  <c r="A35" i="1"/>
  <c r="B35" i="1"/>
  <c r="C35" i="1"/>
  <c r="D35" i="1"/>
  <c r="G35" i="1"/>
  <c r="H35" i="1"/>
  <c r="I35" i="1"/>
  <c r="J35" i="1"/>
  <c r="A36" i="1"/>
  <c r="B36" i="1"/>
  <c r="C36" i="1"/>
  <c r="D36" i="1"/>
  <c r="G36" i="1"/>
  <c r="H36" i="1"/>
  <c r="I36" i="1"/>
  <c r="J36" i="1"/>
  <c r="A37" i="1"/>
  <c r="B37" i="1"/>
  <c r="C37" i="1"/>
  <c r="D37" i="1"/>
  <c r="G37" i="1"/>
  <c r="H37" i="1"/>
  <c r="I37" i="1"/>
  <c r="J37" i="1"/>
  <c r="A38" i="1"/>
  <c r="B38" i="1"/>
  <c r="C38" i="1"/>
  <c r="D38" i="1"/>
  <c r="G38" i="1"/>
  <c r="H38" i="1"/>
  <c r="I38" i="1"/>
  <c r="J38" i="1"/>
  <c r="A39" i="1"/>
  <c r="B39" i="1"/>
  <c r="C39" i="1"/>
  <c r="D39" i="1"/>
  <c r="G39" i="1"/>
  <c r="H39" i="1"/>
  <c r="I39" i="1"/>
  <c r="J39" i="1"/>
  <c r="A40" i="1"/>
  <c r="B40" i="1"/>
  <c r="C40" i="1"/>
  <c r="D40" i="1"/>
  <c r="G40" i="1"/>
  <c r="H40" i="1"/>
  <c r="I40" i="1"/>
  <c r="J40" i="1"/>
  <c r="A41" i="1"/>
  <c r="B41" i="1"/>
  <c r="C41" i="1"/>
  <c r="D41" i="1"/>
  <c r="G41" i="1"/>
  <c r="H41" i="1"/>
  <c r="I41" i="1"/>
  <c r="J41" i="1"/>
  <c r="A42" i="1"/>
  <c r="B42" i="1"/>
  <c r="C42" i="1"/>
  <c r="D42" i="1"/>
  <c r="G42" i="1"/>
  <c r="H42" i="1"/>
  <c r="I42" i="1"/>
  <c r="J42" i="1"/>
  <c r="A43" i="1"/>
  <c r="B43" i="1"/>
  <c r="C43" i="1"/>
  <c r="D43" i="1"/>
  <c r="G43" i="1"/>
  <c r="H43" i="1"/>
  <c r="I43" i="1"/>
  <c r="J43" i="1"/>
  <c r="A44" i="1"/>
  <c r="B44" i="1"/>
  <c r="C44" i="1"/>
  <c r="D44" i="1"/>
  <c r="G44" i="1"/>
  <c r="H44" i="1"/>
  <c r="I44" i="1"/>
  <c r="J44" i="1"/>
  <c r="A45" i="1"/>
  <c r="B45" i="1"/>
  <c r="C45" i="1"/>
  <c r="D45" i="1"/>
  <c r="G45" i="1"/>
  <c r="H45" i="1"/>
  <c r="I45" i="1"/>
  <c r="J45" i="1"/>
  <c r="A46" i="1"/>
  <c r="B46" i="1"/>
  <c r="C46" i="1"/>
  <c r="D46" i="1"/>
  <c r="G46" i="1"/>
  <c r="H46" i="1"/>
  <c r="I46" i="1"/>
  <c r="J46" i="1"/>
  <c r="A47" i="1"/>
  <c r="B47" i="1"/>
  <c r="C47" i="1"/>
  <c r="D47" i="1"/>
  <c r="G47" i="1"/>
  <c r="H47" i="1"/>
  <c r="I47" i="1"/>
  <c r="J47" i="1"/>
  <c r="A48" i="1"/>
  <c r="B48" i="1"/>
  <c r="C48" i="1"/>
  <c r="D48" i="1"/>
  <c r="G48" i="1"/>
  <c r="H48" i="1"/>
  <c r="I48" i="1"/>
  <c r="J48" i="1"/>
  <c r="A49" i="1"/>
  <c r="B49" i="1"/>
  <c r="C49" i="1"/>
  <c r="D49" i="1"/>
  <c r="G49" i="1"/>
  <c r="H49" i="1"/>
  <c r="I49" i="1"/>
  <c r="J49" i="1"/>
  <c r="A50" i="1"/>
  <c r="B50" i="1"/>
  <c r="C50" i="1"/>
  <c r="D50" i="1"/>
  <c r="G50" i="1"/>
  <c r="H50" i="1"/>
  <c r="I50" i="1"/>
  <c r="J50" i="1"/>
  <c r="A51" i="1"/>
  <c r="B51" i="1"/>
  <c r="C51" i="1"/>
  <c r="D51" i="1"/>
  <c r="G51" i="1"/>
  <c r="H51" i="1"/>
  <c r="I51" i="1"/>
  <c r="J51" i="1"/>
  <c r="A52" i="1"/>
  <c r="B52" i="1"/>
  <c r="C52" i="1"/>
  <c r="D52" i="1"/>
  <c r="G52" i="1"/>
  <c r="H52" i="1"/>
  <c r="I52" i="1"/>
  <c r="J52" i="1"/>
  <c r="A53" i="1"/>
  <c r="B53" i="1"/>
  <c r="C53" i="1"/>
  <c r="D53" i="1"/>
  <c r="G53" i="1"/>
  <c r="H53" i="1"/>
  <c r="I53" i="1"/>
  <c r="J53" i="1"/>
  <c r="A54" i="1"/>
  <c r="B54" i="1"/>
  <c r="C54" i="1"/>
  <c r="D54" i="1"/>
  <c r="G54" i="1"/>
  <c r="H54" i="1"/>
  <c r="I54" i="1"/>
  <c r="J54" i="1"/>
  <c r="A55" i="1"/>
  <c r="B55" i="1"/>
  <c r="C55" i="1"/>
  <c r="D55" i="1"/>
  <c r="G55" i="1"/>
  <c r="H55" i="1"/>
  <c r="I55" i="1"/>
  <c r="J55" i="1"/>
  <c r="A56" i="1"/>
  <c r="B56" i="1"/>
  <c r="C56" i="1"/>
  <c r="D56" i="1"/>
  <c r="G56" i="1"/>
  <c r="H56" i="1"/>
  <c r="I56" i="1"/>
  <c r="J56" i="1"/>
  <c r="A57" i="1"/>
  <c r="B57" i="1"/>
  <c r="C57" i="1"/>
  <c r="D57" i="1"/>
  <c r="G57" i="1"/>
  <c r="H57" i="1"/>
  <c r="I57" i="1"/>
  <c r="J57" i="1"/>
  <c r="A58" i="1"/>
  <c r="B58" i="1"/>
  <c r="C58" i="1"/>
  <c r="D58" i="1"/>
  <c r="G58" i="1"/>
  <c r="H58" i="1"/>
  <c r="I58" i="1"/>
  <c r="J58" i="1"/>
  <c r="A59" i="1"/>
  <c r="B59" i="1"/>
  <c r="C59" i="1"/>
  <c r="D59" i="1"/>
  <c r="G59" i="1"/>
  <c r="H59" i="1"/>
  <c r="I59" i="1"/>
  <c r="J59" i="1"/>
  <c r="A60" i="1"/>
  <c r="B60" i="1"/>
  <c r="C60" i="1"/>
  <c r="D60" i="1"/>
  <c r="G60" i="1"/>
  <c r="H60" i="1"/>
  <c r="I60" i="1"/>
  <c r="J60" i="1"/>
  <c r="A61" i="1"/>
  <c r="B61" i="1"/>
  <c r="C61" i="1"/>
  <c r="D61" i="1"/>
  <c r="G61" i="1"/>
  <c r="H61" i="1"/>
  <c r="I61" i="1"/>
  <c r="J61" i="1"/>
  <c r="A62" i="1"/>
  <c r="B62" i="1"/>
  <c r="C62" i="1"/>
  <c r="D62" i="1"/>
  <c r="G62" i="1"/>
  <c r="H62" i="1"/>
  <c r="I62" i="1"/>
  <c r="J62" i="1"/>
  <c r="A63" i="1"/>
  <c r="B63" i="1"/>
  <c r="C63" i="1"/>
  <c r="D63" i="1"/>
  <c r="G63" i="1"/>
  <c r="H63" i="1"/>
  <c r="I63" i="1"/>
  <c r="J63" i="1"/>
  <c r="A64" i="1"/>
  <c r="B64" i="1"/>
  <c r="C64" i="1"/>
  <c r="D64" i="1"/>
  <c r="G64" i="1"/>
  <c r="H64" i="1"/>
  <c r="I64" i="1"/>
  <c r="J64" i="1"/>
  <c r="A65" i="1"/>
  <c r="B65" i="1"/>
  <c r="C65" i="1"/>
  <c r="D65" i="1"/>
  <c r="G65" i="1"/>
  <c r="H65" i="1"/>
  <c r="I65" i="1"/>
  <c r="J65" i="1"/>
  <c r="A66" i="1"/>
  <c r="B66" i="1"/>
  <c r="C66" i="1"/>
  <c r="D66" i="1"/>
  <c r="G66" i="1"/>
  <c r="H66" i="1"/>
  <c r="I66" i="1"/>
  <c r="J66" i="1"/>
  <c r="A67" i="1"/>
  <c r="B67" i="1"/>
  <c r="C67" i="1"/>
  <c r="D67" i="1"/>
  <c r="G67" i="1"/>
  <c r="H67" i="1"/>
  <c r="I67" i="1"/>
  <c r="J67" i="1"/>
  <c r="A68" i="1"/>
  <c r="B68" i="1"/>
  <c r="C68" i="1"/>
  <c r="D68" i="1"/>
  <c r="G68" i="1"/>
  <c r="H68" i="1"/>
  <c r="I68" i="1"/>
  <c r="J68" i="1"/>
  <c r="A69" i="1"/>
  <c r="B69" i="1"/>
  <c r="C69" i="1"/>
  <c r="D69" i="1"/>
  <c r="G69" i="1"/>
  <c r="H69" i="1"/>
  <c r="I69" i="1"/>
  <c r="J69" i="1"/>
  <c r="A70" i="1"/>
  <c r="B70" i="1"/>
  <c r="C70" i="1"/>
  <c r="D70" i="1"/>
  <c r="G70" i="1"/>
  <c r="H70" i="1"/>
  <c r="I70" i="1"/>
  <c r="J70" i="1"/>
  <c r="A71" i="1"/>
  <c r="B71" i="1"/>
  <c r="C71" i="1"/>
  <c r="D71" i="1"/>
  <c r="G71" i="1"/>
  <c r="H71" i="1"/>
  <c r="I71" i="1"/>
  <c r="J71" i="1"/>
  <c r="A72" i="1"/>
  <c r="B72" i="1"/>
  <c r="C72" i="1"/>
  <c r="D72" i="1"/>
  <c r="G72" i="1"/>
  <c r="H72" i="1"/>
  <c r="I72" i="1"/>
  <c r="J72" i="1"/>
  <c r="A73" i="1"/>
  <c r="B73" i="1"/>
  <c r="C73" i="1"/>
  <c r="D73" i="1"/>
  <c r="G73" i="1"/>
  <c r="H73" i="1"/>
  <c r="I73" i="1"/>
  <c r="J73" i="1"/>
  <c r="A74" i="1"/>
  <c r="B74" i="1"/>
  <c r="C74" i="1"/>
  <c r="D74" i="1"/>
  <c r="G74" i="1"/>
  <c r="H74" i="1"/>
  <c r="I74" i="1"/>
  <c r="J74" i="1"/>
  <c r="A75" i="1"/>
  <c r="B75" i="1"/>
  <c r="C75" i="1"/>
  <c r="D75" i="1"/>
  <c r="G75" i="1"/>
  <c r="H75" i="1"/>
  <c r="I75" i="1"/>
  <c r="J75" i="1"/>
  <c r="A76" i="1"/>
  <c r="B76" i="1"/>
  <c r="C76" i="1"/>
  <c r="D76" i="1"/>
  <c r="G76" i="1"/>
  <c r="H76" i="1"/>
  <c r="I76" i="1"/>
  <c r="J76" i="1"/>
  <c r="A77" i="1"/>
  <c r="B77" i="1"/>
  <c r="C77" i="1"/>
  <c r="D77" i="1"/>
  <c r="G77" i="1"/>
  <c r="H77" i="1"/>
  <c r="I77" i="1"/>
  <c r="J77" i="1"/>
  <c r="A78" i="1"/>
  <c r="B78" i="1"/>
  <c r="C78" i="1"/>
  <c r="D78" i="1"/>
  <c r="G78" i="1"/>
  <c r="H78" i="1"/>
  <c r="I78" i="1"/>
  <c r="J78" i="1"/>
  <c r="A79" i="1"/>
  <c r="B79" i="1"/>
  <c r="C79" i="1"/>
  <c r="D79" i="1"/>
  <c r="G79" i="1"/>
  <c r="H79" i="1"/>
  <c r="I79" i="1"/>
  <c r="J79" i="1"/>
  <c r="A80" i="1"/>
  <c r="B80" i="1"/>
  <c r="C80" i="1"/>
  <c r="D80" i="1"/>
  <c r="G80" i="1"/>
  <c r="H80" i="1"/>
  <c r="I80" i="1"/>
  <c r="J80" i="1"/>
  <c r="A81" i="1"/>
  <c r="B81" i="1"/>
  <c r="C81" i="1"/>
  <c r="D81" i="1"/>
  <c r="G81" i="1"/>
  <c r="H81" i="1"/>
  <c r="I81" i="1"/>
  <c r="J81" i="1"/>
  <c r="A82" i="1"/>
  <c r="B82" i="1"/>
  <c r="C82" i="1"/>
  <c r="D82" i="1"/>
  <c r="G82" i="1"/>
  <c r="H82" i="1"/>
  <c r="I82" i="1"/>
  <c r="J82" i="1"/>
  <c r="A83" i="1"/>
  <c r="B83" i="1"/>
  <c r="C83" i="1"/>
  <c r="D83" i="1"/>
  <c r="G83" i="1"/>
  <c r="H83" i="1"/>
  <c r="I83" i="1"/>
  <c r="J83" i="1"/>
  <c r="A84" i="1"/>
  <c r="B84" i="1"/>
  <c r="C84" i="1"/>
  <c r="D84" i="1"/>
  <c r="G84" i="1"/>
  <c r="H84" i="1"/>
  <c r="I84" i="1"/>
  <c r="J84" i="1"/>
  <c r="A85" i="1"/>
  <c r="B85" i="1"/>
  <c r="C85" i="1"/>
  <c r="D85" i="1"/>
  <c r="G85" i="1"/>
  <c r="H85" i="1"/>
  <c r="I85" i="1"/>
  <c r="J85" i="1"/>
  <c r="A86" i="1"/>
  <c r="B86" i="1"/>
  <c r="C86" i="1"/>
  <c r="D86" i="1"/>
  <c r="G86" i="1"/>
  <c r="H86" i="1"/>
  <c r="I86" i="1"/>
  <c r="J86" i="1"/>
  <c r="A87" i="1"/>
  <c r="B87" i="1"/>
  <c r="C87" i="1"/>
  <c r="D87" i="1"/>
  <c r="G87" i="1"/>
  <c r="H87" i="1"/>
  <c r="I87" i="1"/>
  <c r="J87" i="1"/>
  <c r="A88" i="1"/>
  <c r="B88" i="1"/>
  <c r="C88" i="1"/>
  <c r="D88" i="1"/>
  <c r="G88" i="1"/>
  <c r="H88" i="1"/>
  <c r="I88" i="1"/>
  <c r="J88" i="1"/>
  <c r="A89" i="1"/>
  <c r="B89" i="1"/>
  <c r="C89" i="1"/>
  <c r="D89" i="1"/>
  <c r="G89" i="1"/>
  <c r="H89" i="1"/>
  <c r="I89" i="1"/>
  <c r="J89" i="1"/>
  <c r="A90" i="1"/>
  <c r="B90" i="1"/>
  <c r="C90" i="1"/>
  <c r="D90" i="1"/>
  <c r="G90" i="1"/>
  <c r="H90" i="1"/>
  <c r="I90" i="1"/>
  <c r="J90" i="1"/>
  <c r="A91" i="1"/>
  <c r="B91" i="1"/>
  <c r="C91" i="1"/>
  <c r="D91" i="1"/>
  <c r="G91" i="1"/>
  <c r="H91" i="1"/>
  <c r="I91" i="1"/>
  <c r="J91" i="1"/>
  <c r="A92" i="1"/>
  <c r="B92" i="1"/>
  <c r="C92" i="1"/>
  <c r="D92" i="1"/>
  <c r="G92" i="1"/>
  <c r="H92" i="1"/>
  <c r="I92" i="1"/>
  <c r="J92" i="1"/>
  <c r="A93" i="1"/>
  <c r="B93" i="1"/>
  <c r="C93" i="1"/>
  <c r="D93" i="1"/>
  <c r="G93" i="1"/>
  <c r="H93" i="1"/>
  <c r="I93" i="1"/>
  <c r="J93" i="1"/>
  <c r="A94" i="1"/>
  <c r="B94" i="1"/>
  <c r="C94" i="1"/>
  <c r="D94" i="1"/>
  <c r="G94" i="1"/>
  <c r="H94" i="1"/>
  <c r="I94" i="1"/>
  <c r="J94" i="1"/>
  <c r="A95" i="1"/>
  <c r="B95" i="1"/>
  <c r="C95" i="1"/>
  <c r="D95" i="1"/>
  <c r="G95" i="1"/>
  <c r="H95" i="1"/>
  <c r="I95" i="1"/>
  <c r="J95" i="1"/>
  <c r="A96" i="1"/>
  <c r="B96" i="1"/>
  <c r="C96" i="1"/>
  <c r="D96" i="1"/>
  <c r="G96" i="1"/>
  <c r="H96" i="1"/>
  <c r="I96" i="1"/>
  <c r="J96" i="1"/>
  <c r="A97" i="1"/>
  <c r="B97" i="1"/>
  <c r="C97" i="1"/>
  <c r="D97" i="1"/>
  <c r="G97" i="1"/>
  <c r="H97" i="1"/>
  <c r="I97" i="1"/>
  <c r="J97" i="1"/>
  <c r="A98" i="1"/>
  <c r="B98" i="1"/>
  <c r="C98" i="1"/>
  <c r="D98" i="1"/>
  <c r="G98" i="1"/>
  <c r="H98" i="1"/>
  <c r="I98" i="1"/>
  <c r="J98" i="1"/>
  <c r="A99" i="1"/>
  <c r="B99" i="1"/>
  <c r="C99" i="1"/>
  <c r="D99" i="1"/>
  <c r="G99" i="1"/>
  <c r="H99" i="1"/>
  <c r="I99" i="1"/>
  <c r="J99" i="1"/>
  <c r="A100" i="1"/>
  <c r="B100" i="1"/>
  <c r="C100" i="1"/>
  <c r="D100" i="1"/>
  <c r="G100" i="1"/>
  <c r="H100" i="1"/>
  <c r="I100" i="1"/>
  <c r="J100" i="1"/>
  <c r="A101" i="1"/>
  <c r="B101" i="1"/>
  <c r="C101" i="1"/>
  <c r="D101" i="1"/>
  <c r="G101" i="1"/>
  <c r="H101" i="1"/>
  <c r="I101" i="1"/>
  <c r="J101" i="1"/>
  <c r="A102" i="1"/>
  <c r="B102" i="1"/>
  <c r="C102" i="1"/>
  <c r="D102" i="1"/>
  <c r="G102" i="1"/>
  <c r="H102" i="1"/>
  <c r="I102" i="1"/>
  <c r="J102" i="1"/>
  <c r="A103" i="1"/>
  <c r="B103" i="1"/>
  <c r="C103" i="1"/>
  <c r="D103" i="1"/>
  <c r="G103" i="1"/>
  <c r="H103" i="1"/>
  <c r="I103" i="1"/>
  <c r="J103" i="1"/>
  <c r="A104" i="1"/>
  <c r="B104" i="1"/>
  <c r="C104" i="1"/>
  <c r="D104" i="1"/>
  <c r="G104" i="1"/>
  <c r="H104" i="1"/>
  <c r="I104" i="1"/>
  <c r="J104" i="1"/>
  <c r="A105" i="1"/>
  <c r="B105" i="1"/>
  <c r="C105" i="1"/>
  <c r="D105" i="1"/>
  <c r="G105" i="1"/>
  <c r="H105" i="1"/>
  <c r="I105" i="1"/>
  <c r="J105" i="1"/>
  <c r="A106" i="1"/>
  <c r="B106" i="1"/>
  <c r="C106" i="1"/>
  <c r="D106" i="1"/>
  <c r="G106" i="1"/>
  <c r="H106" i="1"/>
  <c r="I106" i="1"/>
  <c r="J106" i="1"/>
  <c r="A107" i="1"/>
  <c r="B107" i="1"/>
  <c r="C107" i="1"/>
  <c r="D107" i="1"/>
  <c r="G107" i="1"/>
  <c r="H107" i="1"/>
  <c r="I107" i="1"/>
  <c r="J107" i="1"/>
  <c r="A108" i="1"/>
  <c r="B108" i="1"/>
  <c r="C108" i="1"/>
  <c r="D108" i="1"/>
  <c r="G108" i="1"/>
  <c r="H108" i="1"/>
  <c r="I108" i="1"/>
  <c r="J108" i="1"/>
  <c r="A109" i="1"/>
  <c r="B109" i="1"/>
  <c r="C109" i="1"/>
  <c r="D109" i="1"/>
  <c r="G109" i="1"/>
  <c r="H109" i="1"/>
  <c r="I109" i="1"/>
  <c r="J109" i="1"/>
  <c r="A110" i="1"/>
  <c r="B110" i="1"/>
  <c r="C110" i="1"/>
  <c r="D110" i="1"/>
  <c r="G110" i="1"/>
  <c r="H110" i="1"/>
  <c r="I110" i="1"/>
  <c r="J110" i="1"/>
  <c r="A111" i="1"/>
  <c r="B111" i="1"/>
  <c r="C111" i="1"/>
  <c r="D111" i="1"/>
  <c r="G111" i="1"/>
  <c r="H111" i="1"/>
  <c r="I111" i="1"/>
  <c r="J111" i="1"/>
  <c r="A112" i="1"/>
  <c r="B112" i="1"/>
  <c r="C112" i="1"/>
  <c r="D112" i="1"/>
  <c r="G112" i="1"/>
  <c r="H112" i="1"/>
  <c r="I112" i="1"/>
  <c r="J112" i="1"/>
  <c r="A113" i="1"/>
  <c r="B113" i="1"/>
  <c r="C113" i="1"/>
  <c r="D113" i="1"/>
  <c r="G113" i="1"/>
  <c r="H113" i="1"/>
  <c r="I113" i="1"/>
  <c r="J113" i="1"/>
  <c r="A114" i="1"/>
  <c r="B114" i="1"/>
  <c r="C114" i="1"/>
  <c r="D114" i="1"/>
  <c r="G114" i="1"/>
  <c r="H114" i="1"/>
  <c r="I114" i="1"/>
  <c r="J114" i="1"/>
  <c r="A115" i="1"/>
  <c r="B115" i="1"/>
  <c r="C115" i="1"/>
  <c r="D115" i="1"/>
  <c r="G115" i="1"/>
  <c r="H115" i="1"/>
  <c r="I115" i="1"/>
  <c r="J115" i="1"/>
  <c r="A116" i="1"/>
  <c r="B116" i="1"/>
  <c r="C116" i="1"/>
  <c r="D116" i="1"/>
  <c r="G116" i="1"/>
  <c r="H116" i="1"/>
  <c r="I116" i="1"/>
  <c r="J116" i="1"/>
  <c r="A117" i="1"/>
  <c r="B117" i="1"/>
  <c r="C117" i="1"/>
  <c r="D117" i="1"/>
  <c r="G117" i="1"/>
  <c r="H117" i="1"/>
  <c r="I117" i="1"/>
  <c r="J117" i="1"/>
  <c r="A118" i="1"/>
  <c r="B118" i="1"/>
  <c r="C118" i="1"/>
  <c r="D118" i="1"/>
  <c r="G118" i="1"/>
  <c r="H118" i="1"/>
  <c r="I118" i="1"/>
  <c r="J118" i="1"/>
  <c r="A119" i="1"/>
  <c r="B119" i="1"/>
  <c r="C119" i="1"/>
  <c r="D119" i="1"/>
  <c r="G119" i="1"/>
  <c r="H119" i="1"/>
  <c r="I119" i="1"/>
  <c r="J119" i="1"/>
  <c r="A120" i="1"/>
  <c r="B120" i="1"/>
  <c r="C120" i="1"/>
  <c r="D120" i="1"/>
  <c r="G120" i="1"/>
  <c r="H120" i="1"/>
  <c r="I120" i="1"/>
  <c r="J120" i="1"/>
  <c r="A121" i="1"/>
  <c r="B121" i="1"/>
  <c r="C121" i="1"/>
  <c r="D121" i="1"/>
  <c r="G121" i="1"/>
  <c r="H121" i="1"/>
  <c r="I121" i="1"/>
  <c r="J121" i="1"/>
  <c r="A122" i="1"/>
  <c r="B122" i="1"/>
  <c r="C122" i="1"/>
  <c r="D122" i="1"/>
  <c r="G122" i="1"/>
  <c r="H122" i="1"/>
  <c r="I122" i="1"/>
  <c r="J122" i="1"/>
  <c r="A123" i="1"/>
  <c r="B123" i="1"/>
  <c r="C123" i="1"/>
  <c r="D123" i="1"/>
  <c r="G123" i="1"/>
  <c r="H123" i="1"/>
  <c r="I123" i="1"/>
  <c r="J123" i="1"/>
  <c r="A124" i="1"/>
  <c r="B124" i="1"/>
  <c r="C124" i="1"/>
  <c r="D124" i="1"/>
  <c r="G124" i="1"/>
  <c r="H124" i="1"/>
  <c r="I124" i="1"/>
  <c r="J124" i="1"/>
  <c r="A125" i="1"/>
  <c r="B125" i="1"/>
  <c r="C125" i="1"/>
  <c r="D125" i="1"/>
  <c r="G125" i="1"/>
  <c r="H125" i="1"/>
  <c r="I125" i="1"/>
  <c r="J125" i="1"/>
  <c r="A126" i="1"/>
  <c r="B126" i="1"/>
  <c r="C126" i="1"/>
  <c r="D126" i="1"/>
  <c r="G126" i="1"/>
  <c r="H126" i="1"/>
  <c r="I126" i="1"/>
  <c r="J126" i="1"/>
  <c r="A127" i="1"/>
  <c r="B127" i="1"/>
  <c r="C127" i="1"/>
  <c r="D127" i="1"/>
  <c r="G127" i="1"/>
  <c r="H127" i="1"/>
  <c r="I127" i="1"/>
  <c r="J127" i="1"/>
  <c r="A128" i="1"/>
  <c r="B128" i="1"/>
  <c r="C128" i="1"/>
  <c r="D128" i="1"/>
  <c r="G128" i="1"/>
  <c r="H128" i="1"/>
  <c r="I128" i="1"/>
  <c r="J128" i="1"/>
  <c r="A129" i="1"/>
  <c r="B129" i="1"/>
  <c r="C129" i="1"/>
  <c r="D129" i="1"/>
  <c r="G129" i="1"/>
  <c r="H129" i="1"/>
  <c r="I129" i="1"/>
  <c r="J129" i="1"/>
  <c r="A130" i="1"/>
  <c r="B130" i="1"/>
  <c r="C130" i="1"/>
  <c r="D130" i="1"/>
  <c r="G130" i="1"/>
  <c r="H130" i="1"/>
  <c r="I130" i="1"/>
  <c r="J130" i="1"/>
  <c r="A131" i="1"/>
  <c r="B131" i="1"/>
  <c r="C131" i="1"/>
  <c r="D131" i="1"/>
  <c r="G131" i="1"/>
  <c r="H131" i="1"/>
  <c r="I131" i="1"/>
  <c r="J131" i="1"/>
  <c r="A132" i="1"/>
  <c r="B132" i="1"/>
  <c r="C132" i="1"/>
  <c r="D132" i="1"/>
  <c r="G132" i="1"/>
  <c r="H132" i="1"/>
  <c r="I132" i="1"/>
  <c r="J132" i="1"/>
  <c r="A133" i="1"/>
  <c r="B133" i="1"/>
  <c r="C133" i="1"/>
  <c r="D133" i="1"/>
  <c r="G133" i="1"/>
  <c r="H133" i="1"/>
  <c r="I133" i="1"/>
  <c r="J133" i="1"/>
  <c r="A134" i="1"/>
  <c r="B134" i="1"/>
  <c r="C134" i="1"/>
  <c r="D134" i="1"/>
  <c r="G134" i="1"/>
  <c r="H134" i="1"/>
  <c r="I134" i="1"/>
  <c r="J134" i="1"/>
  <c r="A135" i="1"/>
  <c r="B135" i="1"/>
  <c r="C135" i="1"/>
  <c r="D135" i="1"/>
  <c r="G135" i="1"/>
  <c r="H135" i="1"/>
  <c r="I135" i="1"/>
  <c r="J135" i="1"/>
  <c r="A136" i="1"/>
  <c r="B136" i="1"/>
  <c r="C136" i="1"/>
  <c r="D136" i="1"/>
  <c r="G136" i="1"/>
  <c r="H136" i="1"/>
  <c r="I136" i="1"/>
  <c r="J136" i="1"/>
  <c r="A137" i="1"/>
  <c r="B137" i="1"/>
  <c r="C137" i="1"/>
  <c r="D137" i="1"/>
  <c r="G137" i="1"/>
  <c r="H137" i="1"/>
  <c r="I137" i="1"/>
  <c r="J137" i="1"/>
  <c r="A138" i="1"/>
  <c r="B138" i="1"/>
  <c r="C138" i="1"/>
  <c r="D138" i="1"/>
  <c r="G138" i="1"/>
  <c r="H138" i="1"/>
  <c r="I138" i="1"/>
  <c r="J138" i="1"/>
  <c r="A139" i="1"/>
  <c r="B139" i="1"/>
  <c r="C139" i="1"/>
  <c r="D139" i="1"/>
  <c r="G139" i="1"/>
  <c r="H139" i="1"/>
  <c r="I139" i="1"/>
  <c r="J139" i="1"/>
  <c r="A140" i="1"/>
  <c r="B140" i="1"/>
  <c r="C140" i="1"/>
  <c r="D140" i="1"/>
  <c r="G140" i="1"/>
  <c r="H140" i="1"/>
  <c r="I140" i="1"/>
  <c r="J140" i="1"/>
  <c r="A141" i="1"/>
  <c r="B141" i="1"/>
  <c r="C141" i="1"/>
  <c r="D141" i="1"/>
  <c r="G141" i="1"/>
  <c r="H141" i="1"/>
  <c r="I141" i="1"/>
  <c r="J141" i="1"/>
  <c r="A142" i="1"/>
  <c r="B142" i="1"/>
  <c r="C142" i="1"/>
  <c r="D142" i="1"/>
  <c r="G142" i="1"/>
  <c r="H142" i="1"/>
  <c r="I142" i="1"/>
  <c r="J142" i="1"/>
  <c r="A143" i="1"/>
  <c r="B143" i="1"/>
  <c r="C143" i="1"/>
  <c r="D143" i="1"/>
  <c r="G143" i="1"/>
  <c r="H143" i="1"/>
  <c r="I143" i="1"/>
  <c r="J143" i="1"/>
  <c r="A144" i="1"/>
  <c r="B144" i="1"/>
  <c r="C144" i="1"/>
  <c r="D144" i="1"/>
  <c r="G144" i="1"/>
  <c r="H144" i="1"/>
  <c r="I144" i="1"/>
  <c r="J144" i="1"/>
  <c r="A145" i="1"/>
  <c r="B145" i="1"/>
  <c r="C145" i="1"/>
  <c r="D145" i="1"/>
  <c r="G145" i="1"/>
  <c r="H145" i="1"/>
  <c r="I145" i="1"/>
  <c r="J145" i="1"/>
  <c r="A146" i="1"/>
  <c r="B146" i="1"/>
  <c r="C146" i="1"/>
  <c r="D146" i="1"/>
  <c r="G146" i="1"/>
  <c r="H146" i="1"/>
  <c r="I146" i="1"/>
  <c r="J146" i="1"/>
  <c r="A147" i="1"/>
  <c r="B147" i="1"/>
  <c r="C147" i="1"/>
  <c r="D147" i="1"/>
  <c r="G147" i="1"/>
  <c r="H147" i="1"/>
  <c r="I147" i="1"/>
  <c r="J147" i="1"/>
  <c r="A148" i="1"/>
  <c r="B148" i="1"/>
  <c r="C148" i="1"/>
  <c r="D148" i="1"/>
  <c r="G148" i="1"/>
  <c r="H148" i="1"/>
  <c r="I148" i="1"/>
  <c r="J148" i="1"/>
  <c r="A149" i="1"/>
  <c r="B149" i="1"/>
  <c r="C149" i="1"/>
  <c r="D149" i="1"/>
  <c r="G149" i="1"/>
  <c r="H149" i="1"/>
  <c r="I149" i="1"/>
  <c r="J149" i="1"/>
  <c r="A150" i="1"/>
  <c r="B150" i="1"/>
  <c r="C150" i="1"/>
  <c r="D150" i="1"/>
  <c r="G150" i="1"/>
  <c r="H150" i="1"/>
  <c r="I150" i="1"/>
  <c r="J150" i="1"/>
  <c r="A151" i="1"/>
  <c r="B151" i="1"/>
  <c r="C151" i="1"/>
  <c r="D151" i="1"/>
  <c r="G151" i="1"/>
  <c r="H151" i="1"/>
  <c r="I151" i="1"/>
  <c r="J151" i="1"/>
  <c r="A152" i="1"/>
  <c r="B152" i="1"/>
  <c r="C152" i="1"/>
  <c r="D152" i="1"/>
  <c r="G152" i="1"/>
  <c r="H152" i="1"/>
  <c r="I152" i="1"/>
  <c r="J152" i="1"/>
  <c r="A153" i="1"/>
  <c r="B153" i="1"/>
  <c r="C153" i="1"/>
  <c r="D153" i="1"/>
  <c r="G153" i="1"/>
  <c r="H153" i="1"/>
  <c r="I153" i="1"/>
  <c r="J153" i="1"/>
  <c r="A154" i="1"/>
  <c r="B154" i="1"/>
  <c r="C154" i="1"/>
  <c r="D154" i="1"/>
  <c r="G154" i="1"/>
  <c r="H154" i="1"/>
  <c r="I154" i="1"/>
  <c r="J154" i="1"/>
  <c r="A155" i="1"/>
  <c r="B155" i="1"/>
  <c r="C155" i="1"/>
  <c r="D155" i="1"/>
  <c r="G155" i="1"/>
  <c r="H155" i="1"/>
  <c r="I155" i="1"/>
  <c r="J155" i="1"/>
  <c r="A156" i="1"/>
  <c r="B156" i="1"/>
  <c r="C156" i="1"/>
  <c r="D156" i="1"/>
  <c r="G156" i="1"/>
  <c r="H156" i="1"/>
  <c r="I156" i="1"/>
  <c r="J156" i="1"/>
  <c r="A157" i="1"/>
  <c r="B157" i="1"/>
  <c r="C157" i="1"/>
  <c r="D157" i="1"/>
  <c r="G157" i="1"/>
  <c r="H157" i="1"/>
  <c r="I157" i="1"/>
  <c r="J157" i="1"/>
  <c r="A158" i="1"/>
  <c r="B158" i="1"/>
  <c r="C158" i="1"/>
  <c r="D158" i="1"/>
  <c r="G158" i="1"/>
  <c r="H158" i="1"/>
  <c r="I158" i="1"/>
  <c r="J158" i="1"/>
  <c r="A159" i="1"/>
  <c r="B159" i="1"/>
  <c r="C159" i="1"/>
  <c r="D159" i="1"/>
  <c r="G159" i="1"/>
  <c r="H159" i="1"/>
  <c r="I159" i="1"/>
  <c r="J159" i="1"/>
  <c r="A160" i="1"/>
  <c r="B160" i="1"/>
  <c r="C160" i="1"/>
  <c r="D160" i="1"/>
  <c r="G160" i="1"/>
  <c r="H160" i="1"/>
  <c r="I160" i="1"/>
  <c r="J160" i="1"/>
  <c r="A161" i="1"/>
  <c r="B161" i="1"/>
  <c r="C161" i="1"/>
  <c r="D161" i="1"/>
  <c r="G161" i="1"/>
  <c r="H161" i="1"/>
  <c r="I161" i="1"/>
  <c r="J161" i="1"/>
  <c r="A162" i="1"/>
  <c r="B162" i="1"/>
  <c r="C162" i="1"/>
  <c r="D162" i="1"/>
  <c r="G162" i="1"/>
  <c r="H162" i="1"/>
  <c r="I162" i="1"/>
  <c r="J162" i="1"/>
  <c r="A163" i="1"/>
  <c r="B163" i="1"/>
  <c r="C163" i="1"/>
  <c r="D163" i="1"/>
  <c r="G163" i="1"/>
  <c r="H163" i="1"/>
  <c r="I163" i="1"/>
  <c r="J163" i="1"/>
  <c r="A164" i="1"/>
  <c r="B164" i="1"/>
  <c r="C164" i="1"/>
  <c r="D164" i="1"/>
  <c r="G164" i="1"/>
  <c r="H164" i="1"/>
  <c r="I164" i="1"/>
  <c r="J164" i="1"/>
  <c r="A165" i="1"/>
  <c r="B165" i="1"/>
  <c r="C165" i="1"/>
  <c r="D165" i="1"/>
  <c r="G165" i="1"/>
  <c r="H165" i="1"/>
  <c r="I165" i="1"/>
  <c r="J165" i="1"/>
  <c r="A166" i="1"/>
  <c r="B166" i="1"/>
  <c r="C166" i="1"/>
  <c r="D166" i="1"/>
  <c r="G166" i="1"/>
  <c r="H166" i="1"/>
  <c r="I166" i="1"/>
  <c r="J166" i="1"/>
  <c r="A167" i="1"/>
  <c r="B167" i="1"/>
  <c r="C167" i="1"/>
  <c r="D167" i="1"/>
  <c r="G167" i="1"/>
  <c r="H167" i="1"/>
  <c r="I167" i="1"/>
  <c r="J167" i="1"/>
  <c r="A168" i="1"/>
  <c r="B168" i="1"/>
  <c r="C168" i="1"/>
  <c r="D168" i="1"/>
  <c r="G168" i="1"/>
  <c r="H168" i="1"/>
  <c r="I168" i="1"/>
  <c r="J168" i="1"/>
  <c r="A169" i="1"/>
  <c r="B169" i="1"/>
  <c r="C169" i="1"/>
  <c r="D169" i="1"/>
  <c r="G169" i="1"/>
  <c r="H169" i="1"/>
  <c r="I169" i="1"/>
  <c r="J169" i="1"/>
  <c r="A170" i="1"/>
  <c r="B170" i="1"/>
  <c r="C170" i="1"/>
  <c r="D170" i="1"/>
  <c r="G170" i="1"/>
  <c r="H170" i="1"/>
  <c r="I170" i="1"/>
  <c r="J170" i="1"/>
  <c r="A171" i="1"/>
  <c r="B171" i="1"/>
  <c r="C171" i="1"/>
  <c r="D171" i="1"/>
  <c r="G171" i="1"/>
  <c r="H171" i="1"/>
  <c r="I171" i="1"/>
  <c r="J171" i="1"/>
  <c r="A172" i="1"/>
  <c r="B172" i="1"/>
  <c r="C172" i="1"/>
  <c r="D172" i="1"/>
  <c r="G172" i="1"/>
  <c r="H172" i="1"/>
  <c r="I172" i="1"/>
  <c r="J172" i="1"/>
  <c r="A173" i="1"/>
  <c r="B173" i="1"/>
  <c r="C173" i="1"/>
  <c r="D173" i="1"/>
  <c r="G173" i="1"/>
  <c r="H173" i="1"/>
  <c r="I173" i="1"/>
  <c r="J173" i="1"/>
  <c r="A174" i="1"/>
  <c r="B174" i="1"/>
  <c r="C174" i="1"/>
  <c r="D174" i="1"/>
  <c r="G174" i="1"/>
  <c r="H174" i="1"/>
  <c r="I174" i="1"/>
  <c r="J174" i="1"/>
  <c r="A175" i="1"/>
  <c r="B175" i="1"/>
  <c r="C175" i="1"/>
  <c r="D175" i="1"/>
  <c r="G175" i="1"/>
  <c r="H175" i="1"/>
  <c r="I175" i="1"/>
  <c r="J175" i="1"/>
  <c r="A176" i="1"/>
  <c r="B176" i="1"/>
  <c r="C176" i="1"/>
  <c r="D176" i="1"/>
  <c r="G176" i="1"/>
  <c r="H176" i="1"/>
  <c r="I176" i="1"/>
  <c r="J176" i="1"/>
  <c r="A177" i="1"/>
  <c r="B177" i="1"/>
  <c r="C177" i="1"/>
  <c r="D177" i="1"/>
  <c r="G177" i="1"/>
  <c r="H177" i="1"/>
  <c r="I177" i="1"/>
  <c r="J177" i="1"/>
  <c r="A178" i="1"/>
  <c r="B178" i="1"/>
  <c r="C178" i="1"/>
  <c r="D178" i="1"/>
  <c r="G178" i="1"/>
  <c r="H178" i="1"/>
  <c r="I178" i="1"/>
  <c r="J178" i="1"/>
  <c r="A179" i="1"/>
  <c r="B179" i="1"/>
  <c r="C179" i="1"/>
  <c r="D179" i="1"/>
  <c r="G179" i="1"/>
  <c r="H179" i="1"/>
  <c r="I179" i="1"/>
  <c r="J179" i="1"/>
  <c r="A180" i="1"/>
  <c r="B180" i="1"/>
  <c r="C180" i="1"/>
  <c r="D180" i="1"/>
  <c r="G180" i="1"/>
  <c r="H180" i="1"/>
  <c r="I180" i="1"/>
  <c r="J180" i="1"/>
  <c r="A181" i="1"/>
  <c r="B181" i="1"/>
  <c r="C181" i="1"/>
  <c r="D181" i="1"/>
  <c r="G181" i="1"/>
  <c r="H181" i="1"/>
  <c r="I181" i="1"/>
  <c r="J181" i="1"/>
  <c r="A182" i="1"/>
  <c r="B182" i="1"/>
  <c r="C182" i="1"/>
  <c r="D182" i="1"/>
  <c r="G182" i="1"/>
  <c r="H182" i="1"/>
  <c r="I182" i="1"/>
  <c r="J182" i="1"/>
  <c r="A183" i="1"/>
  <c r="B183" i="1"/>
  <c r="C183" i="1"/>
  <c r="D183" i="1"/>
  <c r="G183" i="1"/>
  <c r="H183" i="1"/>
  <c r="I183" i="1"/>
  <c r="J183" i="1"/>
  <c r="A184" i="1"/>
  <c r="B184" i="1"/>
  <c r="C184" i="1"/>
  <c r="D184" i="1"/>
  <c r="G184" i="1"/>
  <c r="H184" i="1"/>
  <c r="I184" i="1"/>
  <c r="J184" i="1"/>
  <c r="A185" i="1"/>
  <c r="B185" i="1"/>
  <c r="C185" i="1"/>
  <c r="D185" i="1"/>
  <c r="G185" i="1"/>
  <c r="H185" i="1"/>
  <c r="I185" i="1"/>
  <c r="J185" i="1"/>
  <c r="A186" i="1"/>
  <c r="B186" i="1"/>
  <c r="C186" i="1"/>
  <c r="D186" i="1"/>
  <c r="G186" i="1"/>
  <c r="H186" i="1"/>
  <c r="I186" i="1"/>
  <c r="J186" i="1"/>
  <c r="A187" i="1"/>
  <c r="B187" i="1"/>
  <c r="C187" i="1"/>
  <c r="D187" i="1"/>
  <c r="G187" i="1"/>
  <c r="H187" i="1"/>
  <c r="I187" i="1"/>
  <c r="J187" i="1"/>
  <c r="A188" i="1"/>
  <c r="B188" i="1"/>
  <c r="C188" i="1"/>
  <c r="D188" i="1"/>
  <c r="G188" i="1"/>
  <c r="H188" i="1"/>
  <c r="I188" i="1"/>
  <c r="J188" i="1"/>
  <c r="A189" i="1"/>
  <c r="B189" i="1"/>
  <c r="C189" i="1"/>
  <c r="D189" i="1"/>
  <c r="G189" i="1"/>
  <c r="H189" i="1"/>
  <c r="I189" i="1"/>
  <c r="J189" i="1"/>
  <c r="A190" i="1"/>
  <c r="B190" i="1"/>
  <c r="C190" i="1"/>
  <c r="D190" i="1"/>
  <c r="G190" i="1"/>
  <c r="H190" i="1"/>
  <c r="I190" i="1"/>
  <c r="J190" i="1"/>
  <c r="A191" i="1"/>
  <c r="B191" i="1"/>
  <c r="C191" i="1"/>
  <c r="D191" i="1"/>
  <c r="G191" i="1"/>
  <c r="H191" i="1"/>
  <c r="I191" i="1"/>
  <c r="J191" i="1"/>
  <c r="A192" i="1"/>
  <c r="B192" i="1"/>
  <c r="C192" i="1"/>
  <c r="D192" i="1"/>
  <c r="G192" i="1"/>
  <c r="H192" i="1"/>
  <c r="I192" i="1"/>
  <c r="J192" i="1"/>
  <c r="A193" i="1"/>
  <c r="B193" i="1"/>
  <c r="C193" i="1"/>
  <c r="D193" i="1"/>
  <c r="G193" i="1"/>
  <c r="H193" i="1"/>
  <c r="I193" i="1"/>
  <c r="J193" i="1"/>
  <c r="A194" i="1"/>
  <c r="B194" i="1"/>
  <c r="C194" i="1"/>
  <c r="D194" i="1"/>
  <c r="G194" i="1"/>
  <c r="H194" i="1"/>
  <c r="I194" i="1"/>
  <c r="J194" i="1"/>
  <c r="A195" i="1"/>
  <c r="B195" i="1"/>
  <c r="C195" i="1"/>
  <c r="D195" i="1"/>
  <c r="G195" i="1"/>
  <c r="H195" i="1"/>
  <c r="I195" i="1"/>
  <c r="J195" i="1"/>
  <c r="A196" i="1"/>
  <c r="B196" i="1"/>
  <c r="C196" i="1"/>
  <c r="D196" i="1"/>
  <c r="G196" i="1"/>
  <c r="H196" i="1"/>
  <c r="I196" i="1"/>
  <c r="J196" i="1"/>
  <c r="A197" i="1"/>
  <c r="B197" i="1"/>
  <c r="C197" i="1"/>
  <c r="D197" i="1"/>
  <c r="G197" i="1"/>
  <c r="H197" i="1"/>
  <c r="I197" i="1"/>
  <c r="J197" i="1"/>
  <c r="A198" i="1"/>
  <c r="B198" i="1"/>
  <c r="C198" i="1"/>
  <c r="D198" i="1"/>
  <c r="G198" i="1"/>
  <c r="H198" i="1"/>
  <c r="I198" i="1"/>
  <c r="J198" i="1"/>
  <c r="A199" i="1"/>
  <c r="B199" i="1"/>
  <c r="C199" i="1"/>
  <c r="D199" i="1"/>
  <c r="G199" i="1"/>
  <c r="H199" i="1"/>
  <c r="I199" i="1"/>
  <c r="J199" i="1"/>
  <c r="A200" i="1"/>
  <c r="B200" i="1"/>
  <c r="C200" i="1"/>
  <c r="D200" i="1"/>
  <c r="G200" i="1"/>
  <c r="H200" i="1"/>
  <c r="I200" i="1"/>
  <c r="J200" i="1"/>
  <c r="A201" i="1"/>
  <c r="B201" i="1"/>
  <c r="C201" i="1"/>
  <c r="D201" i="1"/>
  <c r="G201" i="1"/>
  <c r="H201" i="1"/>
  <c r="I201" i="1"/>
  <c r="J201" i="1"/>
  <c r="A202" i="1"/>
  <c r="B202" i="1"/>
  <c r="C202" i="1"/>
  <c r="D202" i="1"/>
  <c r="G202" i="1"/>
  <c r="H202" i="1"/>
  <c r="I202" i="1"/>
  <c r="J202" i="1"/>
  <c r="A203" i="1"/>
  <c r="B203" i="1"/>
  <c r="C203" i="1"/>
  <c r="D203" i="1"/>
  <c r="G203" i="1"/>
  <c r="H203" i="1"/>
  <c r="I203" i="1"/>
  <c r="J203" i="1"/>
  <c r="A204" i="1"/>
  <c r="B204" i="1"/>
  <c r="C204" i="1"/>
  <c r="D204" i="1"/>
  <c r="G204" i="1"/>
  <c r="H204" i="1"/>
  <c r="I204" i="1"/>
  <c r="J204" i="1"/>
  <c r="A205" i="1"/>
  <c r="B205" i="1"/>
  <c r="C205" i="1"/>
  <c r="D205" i="1"/>
  <c r="G205" i="1"/>
  <c r="H205" i="1"/>
  <c r="I205" i="1"/>
  <c r="J205" i="1"/>
  <c r="A206" i="1"/>
  <c r="B206" i="1"/>
  <c r="C206" i="1"/>
  <c r="D206" i="1"/>
  <c r="G206" i="1"/>
  <c r="H206" i="1"/>
  <c r="I206" i="1"/>
  <c r="J206" i="1"/>
  <c r="A207" i="1"/>
  <c r="B207" i="1"/>
  <c r="C207" i="1"/>
  <c r="D207" i="1"/>
  <c r="G207" i="1"/>
  <c r="H207" i="1"/>
  <c r="I207" i="1"/>
  <c r="J207" i="1"/>
  <c r="A208" i="1"/>
  <c r="B208" i="1"/>
  <c r="C208" i="1"/>
  <c r="D208" i="1"/>
  <c r="G208" i="1"/>
  <c r="H208" i="1"/>
  <c r="I208" i="1"/>
  <c r="J208" i="1"/>
  <c r="A209" i="1"/>
  <c r="B209" i="1"/>
  <c r="C209" i="1"/>
  <c r="D209" i="1"/>
  <c r="G209" i="1"/>
  <c r="H209" i="1"/>
  <c r="I209" i="1"/>
  <c r="J209" i="1"/>
  <c r="A210" i="1"/>
  <c r="B210" i="1"/>
  <c r="C210" i="1"/>
  <c r="D210" i="1"/>
  <c r="G210" i="1"/>
  <c r="H210" i="1"/>
  <c r="I210" i="1"/>
  <c r="J210" i="1"/>
  <c r="A211" i="1"/>
  <c r="B211" i="1"/>
  <c r="C211" i="1"/>
  <c r="D211" i="1"/>
  <c r="G211" i="1"/>
  <c r="H211" i="1"/>
  <c r="I211" i="1"/>
  <c r="J211" i="1"/>
  <c r="A212" i="1"/>
  <c r="B212" i="1"/>
  <c r="C212" i="1"/>
  <c r="D212" i="1"/>
  <c r="G212" i="1"/>
  <c r="H212" i="1"/>
  <c r="I212" i="1"/>
  <c r="J212" i="1"/>
  <c r="A213" i="1"/>
  <c r="B213" i="1"/>
  <c r="C213" i="1"/>
  <c r="D213" i="1"/>
  <c r="G213" i="1"/>
  <c r="H213" i="1"/>
  <c r="I213" i="1"/>
  <c r="J213" i="1"/>
  <c r="A214" i="1"/>
  <c r="B214" i="1"/>
  <c r="C214" i="1"/>
  <c r="D214" i="1"/>
  <c r="G214" i="1"/>
  <c r="H214" i="1"/>
  <c r="I214" i="1"/>
  <c r="J214" i="1"/>
  <c r="A215" i="1"/>
  <c r="B215" i="1"/>
  <c r="C215" i="1"/>
  <c r="D215" i="1"/>
  <c r="G215" i="1"/>
  <c r="H215" i="1"/>
  <c r="I215" i="1"/>
  <c r="J215" i="1"/>
  <c r="A216" i="1"/>
  <c r="B216" i="1"/>
  <c r="C216" i="1"/>
  <c r="D216" i="1"/>
  <c r="G216" i="1"/>
  <c r="H216" i="1"/>
  <c r="I216" i="1"/>
  <c r="J216" i="1"/>
  <c r="A217" i="1"/>
  <c r="B217" i="1"/>
  <c r="C217" i="1"/>
  <c r="D217" i="1"/>
  <c r="G217" i="1"/>
  <c r="H217" i="1"/>
  <c r="I217" i="1"/>
  <c r="J217" i="1"/>
  <c r="A218" i="1"/>
  <c r="B218" i="1"/>
  <c r="C218" i="1"/>
  <c r="D218" i="1"/>
  <c r="G218" i="1"/>
  <c r="H218" i="1"/>
  <c r="I218" i="1"/>
  <c r="J218" i="1"/>
  <c r="A219" i="1"/>
  <c r="B219" i="1"/>
  <c r="C219" i="1"/>
  <c r="D219" i="1"/>
  <c r="G219" i="1"/>
  <c r="H219" i="1"/>
  <c r="I219" i="1"/>
  <c r="J219" i="1"/>
  <c r="A220" i="1"/>
  <c r="B220" i="1"/>
  <c r="C220" i="1"/>
  <c r="D220" i="1"/>
  <c r="G220" i="1"/>
  <c r="H220" i="1"/>
  <c r="I220" i="1"/>
  <c r="J220" i="1"/>
  <c r="A221" i="1"/>
  <c r="B221" i="1"/>
  <c r="C221" i="1"/>
  <c r="D221" i="1"/>
  <c r="G221" i="1"/>
  <c r="H221" i="1"/>
  <c r="I221" i="1"/>
  <c r="J221" i="1"/>
  <c r="A222" i="1"/>
  <c r="B222" i="1"/>
  <c r="C222" i="1"/>
  <c r="D222" i="1"/>
  <c r="G222" i="1"/>
  <c r="H222" i="1"/>
  <c r="I222" i="1"/>
  <c r="J222" i="1"/>
  <c r="A223" i="1"/>
  <c r="B223" i="1"/>
  <c r="C223" i="1"/>
  <c r="D223" i="1"/>
  <c r="G223" i="1"/>
  <c r="H223" i="1"/>
  <c r="I223" i="1"/>
  <c r="J223" i="1"/>
  <c r="A224" i="1"/>
  <c r="B224" i="1"/>
  <c r="C224" i="1"/>
  <c r="D224" i="1"/>
  <c r="G224" i="1"/>
  <c r="H224" i="1"/>
  <c r="I224" i="1"/>
  <c r="J224" i="1"/>
  <c r="A225" i="1"/>
  <c r="B225" i="1"/>
  <c r="C225" i="1"/>
  <c r="D225" i="1"/>
  <c r="G225" i="1"/>
  <c r="H225" i="1"/>
  <c r="I225" i="1"/>
  <c r="J225" i="1"/>
  <c r="A226" i="1"/>
  <c r="B226" i="1"/>
  <c r="C226" i="1"/>
  <c r="D226" i="1"/>
  <c r="G226" i="1"/>
  <c r="H226" i="1"/>
  <c r="I226" i="1"/>
  <c r="J226" i="1"/>
  <c r="A227" i="1"/>
  <c r="B227" i="1"/>
  <c r="C227" i="1"/>
  <c r="D227" i="1"/>
  <c r="G227" i="1"/>
  <c r="H227" i="1"/>
  <c r="I227" i="1"/>
  <c r="J227" i="1"/>
  <c r="A228" i="1"/>
  <c r="B228" i="1"/>
  <c r="C228" i="1"/>
  <c r="D228" i="1"/>
  <c r="G228" i="1"/>
  <c r="H228" i="1"/>
  <c r="I228" i="1"/>
  <c r="J228" i="1"/>
  <c r="A229" i="1"/>
  <c r="B229" i="1"/>
  <c r="C229" i="1"/>
  <c r="D229" i="1"/>
  <c r="G229" i="1"/>
  <c r="H229" i="1"/>
  <c r="I229" i="1"/>
  <c r="J229" i="1"/>
  <c r="A230" i="1"/>
  <c r="B230" i="1"/>
  <c r="C230" i="1"/>
  <c r="D230" i="1"/>
  <c r="G230" i="1"/>
  <c r="H230" i="1"/>
  <c r="I230" i="1"/>
  <c r="J230" i="1"/>
  <c r="A231" i="1"/>
  <c r="B231" i="1"/>
  <c r="C231" i="1"/>
  <c r="D231" i="1"/>
  <c r="G231" i="1"/>
  <c r="H231" i="1"/>
  <c r="I231" i="1"/>
  <c r="J231" i="1"/>
  <c r="A232" i="1"/>
  <c r="B232" i="1"/>
  <c r="C232" i="1"/>
  <c r="D232" i="1"/>
  <c r="G232" i="1"/>
  <c r="H232" i="1"/>
  <c r="I232" i="1"/>
  <c r="J232" i="1"/>
  <c r="A233" i="1"/>
  <c r="B233" i="1"/>
  <c r="C233" i="1"/>
  <c r="D233" i="1"/>
  <c r="G233" i="1"/>
  <c r="H233" i="1"/>
  <c r="I233" i="1"/>
  <c r="J233" i="1"/>
  <c r="A234" i="1"/>
  <c r="B234" i="1"/>
  <c r="C234" i="1"/>
  <c r="D234" i="1"/>
  <c r="G234" i="1"/>
  <c r="H234" i="1"/>
  <c r="I234" i="1"/>
  <c r="J234" i="1"/>
  <c r="A235" i="1"/>
  <c r="B235" i="1"/>
  <c r="C235" i="1"/>
  <c r="D235" i="1"/>
  <c r="G235" i="1"/>
  <c r="H235" i="1"/>
  <c r="I235" i="1"/>
  <c r="J235" i="1"/>
  <c r="A236" i="1"/>
  <c r="B236" i="1"/>
  <c r="C236" i="1"/>
  <c r="D236" i="1"/>
  <c r="G236" i="1"/>
  <c r="H236" i="1"/>
  <c r="I236" i="1"/>
  <c r="J236" i="1"/>
  <c r="A237" i="1"/>
  <c r="B237" i="1"/>
  <c r="C237" i="1"/>
  <c r="D237" i="1"/>
  <c r="G237" i="1"/>
  <c r="H237" i="1"/>
  <c r="I237" i="1"/>
  <c r="J237" i="1"/>
  <c r="A238" i="1"/>
  <c r="B238" i="1"/>
  <c r="C238" i="1"/>
  <c r="D238" i="1"/>
  <c r="G238" i="1"/>
  <c r="H238" i="1"/>
  <c r="I238" i="1"/>
  <c r="J238" i="1"/>
  <c r="A239" i="1"/>
  <c r="B239" i="1"/>
  <c r="C239" i="1"/>
  <c r="D239" i="1"/>
  <c r="G239" i="1"/>
  <c r="H239" i="1"/>
  <c r="I239" i="1"/>
  <c r="J239" i="1"/>
  <c r="A240" i="1"/>
  <c r="B240" i="1"/>
  <c r="C240" i="1"/>
  <c r="D240" i="1"/>
  <c r="G240" i="1"/>
  <c r="H240" i="1"/>
  <c r="I240" i="1"/>
  <c r="J240" i="1"/>
  <c r="A241" i="1"/>
  <c r="B241" i="1"/>
  <c r="C241" i="1"/>
  <c r="D241" i="1"/>
  <c r="G241" i="1"/>
  <c r="H241" i="1"/>
  <c r="I241" i="1"/>
  <c r="J241" i="1"/>
  <c r="A242" i="1"/>
  <c r="B242" i="1"/>
  <c r="C242" i="1"/>
  <c r="D242" i="1"/>
  <c r="G242" i="1"/>
  <c r="H242" i="1"/>
  <c r="I242" i="1"/>
  <c r="J242" i="1"/>
  <c r="A243" i="1"/>
  <c r="B243" i="1"/>
  <c r="C243" i="1"/>
  <c r="D243" i="1"/>
  <c r="G243" i="1"/>
  <c r="H243" i="1"/>
  <c r="I243" i="1"/>
  <c r="J243" i="1"/>
  <c r="A244" i="1"/>
  <c r="B244" i="1"/>
  <c r="C244" i="1"/>
  <c r="D244" i="1"/>
  <c r="G244" i="1"/>
  <c r="H244" i="1"/>
  <c r="I244" i="1"/>
  <c r="J244" i="1"/>
  <c r="A245" i="1"/>
  <c r="B245" i="1"/>
  <c r="C245" i="1"/>
  <c r="D245" i="1"/>
  <c r="G245" i="1"/>
  <c r="H245" i="1"/>
  <c r="I245" i="1"/>
  <c r="J245" i="1"/>
  <c r="A246" i="1"/>
  <c r="B246" i="1"/>
  <c r="C246" i="1"/>
  <c r="D246" i="1"/>
  <c r="G246" i="1"/>
  <c r="H246" i="1"/>
  <c r="I246" i="1"/>
  <c r="J246" i="1"/>
  <c r="A247" i="1"/>
  <c r="B247" i="1"/>
  <c r="C247" i="1"/>
  <c r="D247" i="1"/>
  <c r="G247" i="1"/>
  <c r="H247" i="1"/>
  <c r="I247" i="1"/>
  <c r="J247" i="1"/>
  <c r="A248" i="1"/>
  <c r="B248" i="1"/>
  <c r="C248" i="1"/>
  <c r="D248" i="1"/>
  <c r="G248" i="1"/>
  <c r="H248" i="1"/>
  <c r="I248" i="1"/>
  <c r="J248" i="1"/>
  <c r="A249" i="1"/>
  <c r="B249" i="1"/>
  <c r="C249" i="1"/>
  <c r="D249" i="1"/>
  <c r="G249" i="1"/>
  <c r="H249" i="1"/>
  <c r="I249" i="1"/>
  <c r="J249" i="1"/>
  <c r="A250" i="1"/>
  <c r="B250" i="1"/>
  <c r="C250" i="1"/>
  <c r="D250" i="1"/>
  <c r="G250" i="1"/>
  <c r="H250" i="1"/>
  <c r="I250" i="1"/>
  <c r="J250" i="1"/>
  <c r="A251" i="1"/>
  <c r="B251" i="1"/>
  <c r="C251" i="1"/>
  <c r="D251" i="1"/>
  <c r="G251" i="1"/>
  <c r="H251" i="1"/>
  <c r="I251" i="1"/>
  <c r="J251" i="1"/>
  <c r="A252" i="1"/>
  <c r="B252" i="1"/>
  <c r="C252" i="1"/>
  <c r="D252" i="1"/>
  <c r="G252" i="1"/>
  <c r="H252" i="1"/>
  <c r="I252" i="1"/>
  <c r="J252" i="1"/>
  <c r="A253" i="1"/>
  <c r="B253" i="1"/>
  <c r="C253" i="1"/>
  <c r="D253" i="1"/>
  <c r="G253" i="1"/>
  <c r="H253" i="1"/>
  <c r="I253" i="1"/>
  <c r="J253" i="1"/>
  <c r="A254" i="1"/>
  <c r="B254" i="1"/>
  <c r="C254" i="1"/>
  <c r="D254" i="1"/>
  <c r="G254" i="1"/>
  <c r="H254" i="1"/>
  <c r="I254" i="1"/>
  <c r="J254" i="1"/>
  <c r="A255" i="1"/>
  <c r="B255" i="1"/>
  <c r="C255" i="1"/>
  <c r="D255" i="1"/>
  <c r="G255" i="1"/>
  <c r="H255" i="1"/>
  <c r="I255" i="1"/>
  <c r="J255" i="1"/>
  <c r="A256" i="1"/>
  <c r="B256" i="1"/>
  <c r="C256" i="1"/>
  <c r="D256" i="1"/>
  <c r="G256" i="1"/>
  <c r="H256" i="1"/>
  <c r="I256" i="1"/>
  <c r="J256" i="1"/>
  <c r="A257" i="1"/>
  <c r="B257" i="1"/>
  <c r="C257" i="1"/>
  <c r="D257" i="1"/>
  <c r="G257" i="1"/>
  <c r="H257" i="1"/>
  <c r="I257" i="1"/>
  <c r="J257" i="1"/>
  <c r="A258" i="1"/>
  <c r="B258" i="1"/>
  <c r="C258" i="1"/>
  <c r="D258" i="1"/>
  <c r="G258" i="1"/>
  <c r="H258" i="1"/>
  <c r="I258" i="1"/>
  <c r="J258" i="1"/>
  <c r="A259" i="1"/>
  <c r="B259" i="1"/>
  <c r="C259" i="1"/>
  <c r="D259" i="1"/>
  <c r="G259" i="1"/>
  <c r="H259" i="1"/>
  <c r="I259" i="1"/>
  <c r="J259" i="1"/>
  <c r="A260" i="1"/>
  <c r="B260" i="1"/>
  <c r="C260" i="1"/>
  <c r="D260" i="1"/>
  <c r="G260" i="1"/>
  <c r="H260" i="1"/>
  <c r="I260" i="1"/>
  <c r="J260" i="1"/>
  <c r="A261" i="1"/>
  <c r="B261" i="1"/>
  <c r="C261" i="1"/>
  <c r="D261" i="1"/>
  <c r="G261" i="1"/>
  <c r="H261" i="1"/>
  <c r="I261" i="1"/>
  <c r="J261" i="1"/>
  <c r="A262" i="1"/>
  <c r="B262" i="1"/>
  <c r="C262" i="1"/>
  <c r="D262" i="1"/>
  <c r="G262" i="1"/>
  <c r="H262" i="1"/>
  <c r="I262" i="1"/>
  <c r="J262" i="1"/>
  <c r="A263" i="1"/>
  <c r="B263" i="1"/>
  <c r="C263" i="1"/>
  <c r="D263" i="1"/>
  <c r="G263" i="1"/>
  <c r="H263" i="1"/>
  <c r="I263" i="1"/>
  <c r="J263" i="1"/>
  <c r="A264" i="1"/>
  <c r="B264" i="1"/>
  <c r="C264" i="1"/>
  <c r="D264" i="1"/>
  <c r="G264" i="1"/>
  <c r="H264" i="1"/>
  <c r="I264" i="1"/>
  <c r="J264" i="1"/>
  <c r="A265" i="1"/>
  <c r="B265" i="1"/>
  <c r="C265" i="1"/>
  <c r="D265" i="1"/>
  <c r="G265" i="1"/>
  <c r="H265" i="1"/>
  <c r="I265" i="1"/>
  <c r="J265" i="1"/>
  <c r="A266" i="1"/>
  <c r="B266" i="1"/>
  <c r="C266" i="1"/>
  <c r="D266" i="1"/>
  <c r="G266" i="1"/>
  <c r="H266" i="1"/>
  <c r="I266" i="1"/>
  <c r="J266" i="1"/>
  <c r="A267" i="1"/>
  <c r="B267" i="1"/>
  <c r="C267" i="1"/>
  <c r="D267" i="1"/>
  <c r="G267" i="1"/>
  <c r="H267" i="1"/>
  <c r="I267" i="1"/>
  <c r="J267" i="1"/>
  <c r="A268" i="1"/>
  <c r="B268" i="1"/>
  <c r="C268" i="1"/>
  <c r="D268" i="1"/>
  <c r="G268" i="1"/>
  <c r="H268" i="1"/>
  <c r="I268" i="1"/>
  <c r="J268" i="1"/>
  <c r="A269" i="1"/>
  <c r="B269" i="1"/>
  <c r="C269" i="1"/>
  <c r="D269" i="1"/>
  <c r="G269" i="1"/>
  <c r="H269" i="1"/>
  <c r="I269" i="1"/>
  <c r="J269" i="1"/>
  <c r="A270" i="1"/>
  <c r="B270" i="1"/>
  <c r="C270" i="1"/>
  <c r="D270" i="1"/>
  <c r="G270" i="1"/>
  <c r="H270" i="1"/>
  <c r="I270" i="1"/>
  <c r="J270" i="1"/>
  <c r="A271" i="1"/>
  <c r="B271" i="1"/>
  <c r="C271" i="1"/>
  <c r="D271" i="1"/>
  <c r="G271" i="1"/>
  <c r="H271" i="1"/>
  <c r="I271" i="1"/>
  <c r="J271" i="1"/>
  <c r="A272" i="1"/>
  <c r="B272" i="1"/>
  <c r="C272" i="1"/>
  <c r="D272" i="1"/>
  <c r="G272" i="1"/>
  <c r="H272" i="1"/>
  <c r="I272" i="1"/>
  <c r="J272" i="1"/>
  <c r="A273" i="1"/>
  <c r="B273" i="1"/>
  <c r="C273" i="1"/>
  <c r="D273" i="1"/>
  <c r="G273" i="1"/>
  <c r="H273" i="1"/>
  <c r="I273" i="1"/>
  <c r="J273" i="1"/>
  <c r="A274" i="1"/>
  <c r="B274" i="1"/>
  <c r="C274" i="1"/>
  <c r="D274" i="1"/>
  <c r="G274" i="1"/>
  <c r="H274" i="1"/>
  <c r="I274" i="1"/>
  <c r="J274" i="1"/>
  <c r="A275" i="1"/>
  <c r="B275" i="1"/>
  <c r="C275" i="1"/>
  <c r="D275" i="1"/>
  <c r="G275" i="1"/>
  <c r="H275" i="1"/>
  <c r="I275" i="1"/>
  <c r="J275" i="1"/>
  <c r="A276" i="1"/>
  <c r="B276" i="1"/>
  <c r="C276" i="1"/>
  <c r="D276" i="1"/>
  <c r="G276" i="1"/>
  <c r="H276" i="1"/>
  <c r="I276" i="1"/>
  <c r="J276" i="1"/>
  <c r="A277" i="1"/>
  <c r="B277" i="1"/>
  <c r="C277" i="1"/>
  <c r="D277" i="1"/>
  <c r="G277" i="1"/>
  <c r="H277" i="1"/>
  <c r="I277" i="1"/>
  <c r="J277" i="1"/>
  <c r="A278" i="1"/>
  <c r="B278" i="1"/>
  <c r="C278" i="1"/>
  <c r="D278" i="1"/>
  <c r="G278" i="1"/>
  <c r="H278" i="1"/>
  <c r="I278" i="1"/>
  <c r="J278" i="1"/>
  <c r="A279" i="1"/>
  <c r="B279" i="1"/>
  <c r="C279" i="1"/>
  <c r="D279" i="1"/>
  <c r="G279" i="1"/>
  <c r="H279" i="1"/>
  <c r="I279" i="1"/>
  <c r="J279" i="1"/>
  <c r="A280" i="1"/>
  <c r="B280" i="1"/>
  <c r="C280" i="1"/>
  <c r="D280" i="1"/>
  <c r="G280" i="1"/>
  <c r="H280" i="1"/>
  <c r="I280" i="1"/>
  <c r="J280" i="1"/>
  <c r="A281" i="1"/>
  <c r="B281" i="1"/>
  <c r="C281" i="1"/>
  <c r="D281" i="1"/>
  <c r="G281" i="1"/>
  <c r="H281" i="1"/>
  <c r="I281" i="1"/>
  <c r="J281" i="1"/>
  <c r="A282" i="1"/>
  <c r="B282" i="1"/>
  <c r="C282" i="1"/>
  <c r="D282" i="1"/>
  <c r="G282" i="1"/>
  <c r="H282" i="1"/>
  <c r="I282" i="1"/>
  <c r="J282" i="1"/>
  <c r="A283" i="1"/>
  <c r="B283" i="1"/>
  <c r="C283" i="1"/>
  <c r="D283" i="1"/>
  <c r="G283" i="1"/>
  <c r="H283" i="1"/>
  <c r="I283" i="1"/>
  <c r="J283" i="1"/>
  <c r="A284" i="1"/>
  <c r="B284" i="1"/>
  <c r="C284" i="1"/>
  <c r="D284" i="1"/>
  <c r="G284" i="1"/>
  <c r="H284" i="1"/>
  <c r="I284" i="1"/>
  <c r="J284" i="1"/>
  <c r="A285" i="1"/>
  <c r="B285" i="1"/>
  <c r="C285" i="1"/>
  <c r="D285" i="1"/>
  <c r="G285" i="1"/>
  <c r="H285" i="1"/>
  <c r="I285" i="1"/>
  <c r="J285" i="1"/>
  <c r="A286" i="1"/>
  <c r="B286" i="1"/>
  <c r="C286" i="1"/>
  <c r="D286" i="1"/>
  <c r="G286" i="1"/>
  <c r="H286" i="1"/>
  <c r="I286" i="1"/>
  <c r="J286" i="1"/>
  <c r="A287" i="1"/>
  <c r="B287" i="1"/>
  <c r="C287" i="1"/>
  <c r="D287" i="1"/>
  <c r="G287" i="1"/>
  <c r="H287" i="1"/>
  <c r="I287" i="1"/>
  <c r="J287" i="1"/>
  <c r="A288" i="1"/>
  <c r="B288" i="1"/>
  <c r="C288" i="1"/>
  <c r="D288" i="1"/>
  <c r="G288" i="1"/>
  <c r="H288" i="1"/>
  <c r="I288" i="1"/>
  <c r="J288" i="1"/>
  <c r="A289" i="1"/>
  <c r="B289" i="1"/>
  <c r="C289" i="1"/>
  <c r="D289" i="1"/>
  <c r="G289" i="1"/>
  <c r="H289" i="1"/>
  <c r="I289" i="1"/>
  <c r="J289" i="1"/>
  <c r="A290" i="1"/>
  <c r="B290" i="1"/>
  <c r="C290" i="1"/>
  <c r="D290" i="1"/>
  <c r="G290" i="1"/>
  <c r="H290" i="1"/>
  <c r="I290" i="1"/>
  <c r="J290" i="1"/>
  <c r="A291" i="1"/>
  <c r="B291" i="1"/>
  <c r="C291" i="1"/>
  <c r="D291" i="1"/>
  <c r="G291" i="1"/>
  <c r="H291" i="1"/>
  <c r="I291" i="1"/>
  <c r="J291" i="1"/>
  <c r="A292" i="1"/>
  <c r="B292" i="1"/>
  <c r="C292" i="1"/>
  <c r="D292" i="1"/>
  <c r="G292" i="1"/>
  <c r="H292" i="1"/>
  <c r="I292" i="1"/>
  <c r="J292" i="1"/>
  <c r="A293" i="1"/>
  <c r="B293" i="1"/>
  <c r="C293" i="1"/>
  <c r="D293" i="1"/>
  <c r="G293" i="1"/>
  <c r="H293" i="1"/>
  <c r="I293" i="1"/>
  <c r="J293" i="1"/>
  <c r="A294" i="1"/>
  <c r="B294" i="1"/>
  <c r="C294" i="1"/>
  <c r="D294" i="1"/>
  <c r="G294" i="1"/>
  <c r="H294" i="1"/>
  <c r="I294" i="1"/>
  <c r="J294" i="1"/>
  <c r="A295" i="1"/>
  <c r="B295" i="1"/>
  <c r="C295" i="1"/>
  <c r="D295" i="1"/>
  <c r="G295" i="1"/>
  <c r="H295" i="1"/>
  <c r="I295" i="1"/>
  <c r="J295" i="1"/>
  <c r="A296" i="1"/>
  <c r="B296" i="1"/>
  <c r="C296" i="1"/>
  <c r="D296" i="1"/>
  <c r="G296" i="1"/>
  <c r="H296" i="1"/>
  <c r="I296" i="1"/>
  <c r="J296" i="1"/>
  <c r="A297" i="1"/>
  <c r="B297" i="1"/>
  <c r="C297" i="1"/>
  <c r="D297" i="1"/>
  <c r="G297" i="1"/>
  <c r="H297" i="1"/>
  <c r="I297" i="1"/>
  <c r="J297" i="1"/>
  <c r="A298" i="1"/>
  <c r="B298" i="1"/>
  <c r="C298" i="1"/>
  <c r="D298" i="1"/>
  <c r="G298" i="1"/>
  <c r="H298" i="1"/>
  <c r="I298" i="1"/>
  <c r="J298" i="1"/>
  <c r="A299" i="1"/>
  <c r="B299" i="1"/>
  <c r="C299" i="1"/>
  <c r="D299" i="1"/>
  <c r="G299" i="1"/>
  <c r="H299" i="1"/>
  <c r="I299" i="1"/>
  <c r="J299" i="1"/>
  <c r="A300" i="1"/>
  <c r="B300" i="1"/>
  <c r="C300" i="1"/>
  <c r="D300" i="1"/>
  <c r="G300" i="1"/>
  <c r="H300" i="1"/>
  <c r="I300" i="1"/>
  <c r="J300" i="1"/>
  <c r="A301" i="1"/>
  <c r="B301" i="1"/>
  <c r="C301" i="1"/>
  <c r="D301" i="1"/>
  <c r="G301" i="1"/>
  <c r="H301" i="1"/>
  <c r="I301" i="1"/>
  <c r="J301" i="1"/>
  <c r="A302" i="1"/>
  <c r="B302" i="1"/>
  <c r="C302" i="1"/>
  <c r="D302" i="1"/>
  <c r="G302" i="1"/>
  <c r="H302" i="1"/>
  <c r="I302" i="1"/>
  <c r="J302" i="1"/>
  <c r="A303" i="1"/>
  <c r="B303" i="1"/>
  <c r="C303" i="1"/>
  <c r="D303" i="1"/>
  <c r="G303" i="1"/>
  <c r="H303" i="1"/>
  <c r="I303" i="1"/>
  <c r="J303" i="1"/>
  <c r="A304" i="1"/>
  <c r="B304" i="1"/>
  <c r="C304" i="1"/>
  <c r="D304" i="1"/>
  <c r="G304" i="1"/>
  <c r="H304" i="1"/>
  <c r="I304" i="1"/>
  <c r="J304" i="1"/>
  <c r="A305" i="1"/>
  <c r="B305" i="1"/>
  <c r="C305" i="1"/>
  <c r="D305" i="1"/>
  <c r="G305" i="1"/>
  <c r="H305" i="1"/>
  <c r="I305" i="1"/>
  <c r="J305" i="1"/>
  <c r="A306" i="1"/>
  <c r="B306" i="1"/>
  <c r="C306" i="1"/>
  <c r="D306" i="1"/>
  <c r="G306" i="1"/>
  <c r="H306" i="1"/>
  <c r="I306" i="1"/>
  <c r="J306" i="1"/>
  <c r="A307" i="1"/>
  <c r="B307" i="1"/>
  <c r="C307" i="1"/>
  <c r="D307" i="1"/>
  <c r="G307" i="1"/>
  <c r="H307" i="1"/>
  <c r="I307" i="1"/>
  <c r="J307" i="1"/>
  <c r="A308" i="1"/>
  <c r="B308" i="1"/>
  <c r="C308" i="1"/>
  <c r="D308" i="1"/>
  <c r="G308" i="1"/>
  <c r="H308" i="1"/>
  <c r="I308" i="1"/>
  <c r="J308" i="1"/>
  <c r="A309" i="1"/>
  <c r="B309" i="1"/>
  <c r="C309" i="1"/>
  <c r="D309" i="1"/>
  <c r="G309" i="1"/>
  <c r="H309" i="1"/>
  <c r="I309" i="1"/>
  <c r="J309" i="1"/>
  <c r="A310" i="1"/>
  <c r="B310" i="1"/>
  <c r="C310" i="1"/>
  <c r="D310" i="1"/>
  <c r="G310" i="1"/>
  <c r="H310" i="1"/>
  <c r="I310" i="1"/>
  <c r="J310" i="1"/>
  <c r="A311" i="1"/>
  <c r="B311" i="1"/>
  <c r="C311" i="1"/>
  <c r="D311" i="1"/>
  <c r="G311" i="1"/>
  <c r="H311" i="1"/>
  <c r="I311" i="1"/>
  <c r="J311" i="1"/>
  <c r="A312" i="1"/>
  <c r="B312" i="1"/>
  <c r="C312" i="1"/>
  <c r="D312" i="1"/>
  <c r="G312" i="1"/>
  <c r="H312" i="1"/>
  <c r="I312" i="1"/>
  <c r="J312" i="1"/>
  <c r="A313" i="1"/>
  <c r="B313" i="1"/>
  <c r="C313" i="1"/>
  <c r="D313" i="1"/>
  <c r="G313" i="1"/>
  <c r="H313" i="1"/>
  <c r="I313" i="1"/>
  <c r="J313" i="1"/>
  <c r="A314" i="1"/>
  <c r="B314" i="1"/>
  <c r="C314" i="1"/>
  <c r="D314" i="1"/>
  <c r="G314" i="1"/>
  <c r="H314" i="1"/>
  <c r="I314" i="1"/>
  <c r="J314" i="1"/>
  <c r="A315" i="1"/>
  <c r="B315" i="1"/>
  <c r="C315" i="1"/>
  <c r="D315" i="1"/>
  <c r="G315" i="1"/>
  <c r="H315" i="1"/>
  <c r="I315" i="1"/>
  <c r="J315" i="1"/>
  <c r="A316" i="1"/>
  <c r="B316" i="1"/>
  <c r="C316" i="1"/>
  <c r="D316" i="1"/>
  <c r="G316" i="1"/>
  <c r="H316" i="1"/>
  <c r="I316" i="1"/>
  <c r="J316" i="1"/>
  <c r="A317" i="1"/>
  <c r="B317" i="1"/>
  <c r="C317" i="1"/>
  <c r="D317" i="1"/>
  <c r="G317" i="1"/>
  <c r="H317" i="1"/>
  <c r="I317" i="1"/>
  <c r="J317" i="1"/>
  <c r="A318" i="1"/>
  <c r="B318" i="1"/>
  <c r="C318" i="1"/>
  <c r="D318" i="1"/>
  <c r="G318" i="1"/>
  <c r="H318" i="1"/>
  <c r="I318" i="1"/>
  <c r="J318" i="1"/>
  <c r="A319" i="1"/>
  <c r="B319" i="1"/>
  <c r="C319" i="1"/>
  <c r="D319" i="1"/>
  <c r="G319" i="1"/>
  <c r="H319" i="1"/>
  <c r="I319" i="1"/>
  <c r="J319" i="1"/>
  <c r="A320" i="1"/>
  <c r="B320" i="1"/>
  <c r="C320" i="1"/>
  <c r="D320" i="1"/>
  <c r="G320" i="1"/>
  <c r="H320" i="1"/>
  <c r="I320" i="1"/>
  <c r="J320" i="1"/>
  <c r="A321" i="1"/>
  <c r="B321" i="1"/>
  <c r="C321" i="1"/>
  <c r="D321" i="1"/>
  <c r="G321" i="1"/>
  <c r="H321" i="1"/>
  <c r="I321" i="1"/>
  <c r="J321" i="1"/>
  <c r="A322" i="1"/>
  <c r="B322" i="1"/>
  <c r="C322" i="1"/>
  <c r="D322" i="1"/>
  <c r="G322" i="1"/>
  <c r="H322" i="1"/>
  <c r="I322" i="1"/>
  <c r="J322" i="1"/>
  <c r="A323" i="1"/>
  <c r="B323" i="1"/>
  <c r="C323" i="1"/>
  <c r="D323" i="1"/>
  <c r="G323" i="1"/>
  <c r="H323" i="1"/>
  <c r="I323" i="1"/>
  <c r="J323" i="1"/>
  <c r="A324" i="1"/>
  <c r="B324" i="1"/>
  <c r="C324" i="1"/>
  <c r="D324" i="1"/>
  <c r="G324" i="1"/>
  <c r="H324" i="1"/>
  <c r="I324" i="1"/>
  <c r="J324" i="1"/>
  <c r="A325" i="1"/>
  <c r="B325" i="1"/>
  <c r="C325" i="1"/>
  <c r="D325" i="1"/>
  <c r="G325" i="1"/>
  <c r="H325" i="1"/>
  <c r="I325" i="1"/>
  <c r="J325" i="1"/>
  <c r="A326" i="1"/>
  <c r="B326" i="1"/>
  <c r="C326" i="1"/>
  <c r="D326" i="1"/>
  <c r="G326" i="1"/>
  <c r="H326" i="1"/>
  <c r="I326" i="1"/>
  <c r="J326" i="1"/>
  <c r="A327" i="1"/>
  <c r="B327" i="1"/>
  <c r="C327" i="1"/>
  <c r="D327" i="1"/>
  <c r="G327" i="1"/>
  <c r="H327" i="1"/>
  <c r="I327" i="1"/>
  <c r="J327" i="1"/>
  <c r="A328" i="1"/>
  <c r="B328" i="1"/>
  <c r="C328" i="1"/>
  <c r="D328" i="1"/>
  <c r="G328" i="1"/>
  <c r="H328" i="1"/>
  <c r="I328" i="1"/>
  <c r="J328" i="1"/>
  <c r="A329" i="1"/>
  <c r="B329" i="1"/>
  <c r="C329" i="1"/>
  <c r="D329" i="1"/>
  <c r="G329" i="1"/>
  <c r="H329" i="1"/>
  <c r="I329" i="1"/>
  <c r="J329" i="1"/>
  <c r="A330" i="1"/>
  <c r="B330" i="1"/>
  <c r="C330" i="1"/>
  <c r="D330" i="1"/>
  <c r="G330" i="1"/>
  <c r="H330" i="1"/>
  <c r="I330" i="1"/>
  <c r="J330" i="1"/>
  <c r="A331" i="1"/>
  <c r="B331" i="1"/>
  <c r="C331" i="1"/>
  <c r="D331" i="1"/>
  <c r="G331" i="1"/>
  <c r="H331" i="1"/>
  <c r="I331" i="1"/>
  <c r="J331" i="1"/>
  <c r="A332" i="1"/>
  <c r="B332" i="1"/>
  <c r="C332" i="1"/>
  <c r="D332" i="1"/>
  <c r="G332" i="1"/>
  <c r="H332" i="1"/>
  <c r="I332" i="1"/>
  <c r="J332" i="1"/>
  <c r="A333" i="1"/>
  <c r="B333" i="1"/>
  <c r="C333" i="1"/>
  <c r="D333" i="1"/>
  <c r="G333" i="1"/>
  <c r="H333" i="1"/>
  <c r="I333" i="1"/>
  <c r="J333" i="1"/>
  <c r="A334" i="1"/>
  <c r="B334" i="1"/>
  <c r="C334" i="1"/>
  <c r="D334" i="1"/>
  <c r="G334" i="1"/>
  <c r="H334" i="1"/>
  <c r="I334" i="1"/>
  <c r="J334" i="1"/>
  <c r="A335" i="1"/>
  <c r="B335" i="1"/>
  <c r="C335" i="1"/>
  <c r="D335" i="1"/>
  <c r="G335" i="1"/>
  <c r="H335" i="1"/>
  <c r="I335" i="1"/>
  <c r="J335" i="1"/>
  <c r="A336" i="1"/>
  <c r="B336" i="1"/>
  <c r="C336" i="1"/>
  <c r="D336" i="1"/>
  <c r="G336" i="1"/>
  <c r="H336" i="1"/>
  <c r="I336" i="1"/>
  <c r="J336" i="1"/>
  <c r="A337" i="1"/>
  <c r="B337" i="1"/>
  <c r="C337" i="1"/>
  <c r="D337" i="1"/>
  <c r="G337" i="1"/>
  <c r="H337" i="1"/>
  <c r="I337" i="1"/>
  <c r="J337" i="1"/>
  <c r="A338" i="1"/>
  <c r="B338" i="1"/>
  <c r="C338" i="1"/>
  <c r="D338" i="1"/>
  <c r="G338" i="1"/>
  <c r="H338" i="1"/>
  <c r="I338" i="1"/>
  <c r="J338" i="1"/>
  <c r="A339" i="1"/>
  <c r="B339" i="1"/>
  <c r="C339" i="1"/>
  <c r="D339" i="1"/>
  <c r="G339" i="1"/>
  <c r="H339" i="1"/>
  <c r="I339" i="1"/>
  <c r="J339" i="1"/>
  <c r="A340" i="1"/>
  <c r="B340" i="1"/>
  <c r="C340" i="1"/>
  <c r="D340" i="1"/>
  <c r="G340" i="1"/>
  <c r="H340" i="1"/>
  <c r="I340" i="1"/>
  <c r="J340" i="1"/>
  <c r="A341" i="1"/>
  <c r="B341" i="1"/>
  <c r="C341" i="1"/>
  <c r="D341" i="1"/>
  <c r="G341" i="1"/>
  <c r="H341" i="1"/>
  <c r="I341" i="1"/>
  <c r="J341" i="1"/>
  <c r="A342" i="1"/>
  <c r="B342" i="1"/>
  <c r="C342" i="1"/>
  <c r="D342" i="1"/>
  <c r="G342" i="1"/>
  <c r="H342" i="1"/>
  <c r="I342" i="1"/>
  <c r="J342" i="1"/>
  <c r="A343" i="1"/>
  <c r="B343" i="1"/>
  <c r="C343" i="1"/>
  <c r="D343" i="1"/>
  <c r="G343" i="1"/>
  <c r="H343" i="1"/>
  <c r="I343" i="1"/>
  <c r="J343" i="1"/>
  <c r="A344" i="1"/>
  <c r="B344" i="1"/>
  <c r="C344" i="1"/>
  <c r="D344" i="1"/>
  <c r="G344" i="1"/>
  <c r="H344" i="1"/>
  <c r="I344" i="1"/>
  <c r="J344" i="1"/>
  <c r="A345" i="1"/>
  <c r="B345" i="1"/>
  <c r="C345" i="1"/>
  <c r="D345" i="1"/>
  <c r="G345" i="1"/>
  <c r="H345" i="1"/>
  <c r="I345" i="1"/>
  <c r="J345" i="1"/>
  <c r="A346" i="1"/>
  <c r="B346" i="1"/>
  <c r="C346" i="1"/>
  <c r="D346" i="1"/>
  <c r="G346" i="1"/>
  <c r="H346" i="1"/>
  <c r="I346" i="1"/>
  <c r="J346" i="1"/>
  <c r="A347" i="1"/>
  <c r="B347" i="1"/>
  <c r="C347" i="1"/>
  <c r="D347" i="1"/>
  <c r="G347" i="1"/>
  <c r="H347" i="1"/>
  <c r="I347" i="1"/>
  <c r="J347" i="1"/>
  <c r="A348" i="1"/>
  <c r="B348" i="1"/>
  <c r="C348" i="1"/>
  <c r="D348" i="1"/>
  <c r="G348" i="1"/>
  <c r="H348" i="1"/>
  <c r="I348" i="1"/>
  <c r="J348" i="1"/>
  <c r="A349" i="1"/>
  <c r="B349" i="1"/>
  <c r="C349" i="1"/>
  <c r="D349" i="1"/>
  <c r="G349" i="1"/>
  <c r="H349" i="1"/>
  <c r="I349" i="1"/>
  <c r="J349" i="1"/>
  <c r="A350" i="1"/>
  <c r="B350" i="1"/>
  <c r="C350" i="1"/>
  <c r="D350" i="1"/>
  <c r="G350" i="1"/>
  <c r="H350" i="1"/>
  <c r="I350" i="1"/>
  <c r="J350" i="1"/>
  <c r="A351" i="1"/>
  <c r="B351" i="1"/>
  <c r="C351" i="1"/>
  <c r="D351" i="1"/>
  <c r="G351" i="1"/>
  <c r="H351" i="1"/>
  <c r="I351" i="1"/>
  <c r="J351" i="1"/>
  <c r="A352" i="1"/>
  <c r="B352" i="1"/>
  <c r="C352" i="1"/>
  <c r="D352" i="1"/>
  <c r="G352" i="1"/>
  <c r="H352" i="1"/>
  <c r="I352" i="1"/>
  <c r="J352" i="1"/>
  <c r="A353" i="1"/>
  <c r="B353" i="1"/>
  <c r="C353" i="1"/>
  <c r="D353" i="1"/>
  <c r="G353" i="1"/>
  <c r="H353" i="1"/>
  <c r="I353" i="1"/>
  <c r="J353" i="1"/>
  <c r="A354" i="1"/>
  <c r="B354" i="1"/>
  <c r="C354" i="1"/>
  <c r="D354" i="1"/>
  <c r="G354" i="1"/>
  <c r="H354" i="1"/>
  <c r="I354" i="1"/>
  <c r="J354" i="1"/>
  <c r="A355" i="1"/>
  <c r="B355" i="1"/>
  <c r="C355" i="1"/>
  <c r="D355" i="1"/>
  <c r="G355" i="1"/>
  <c r="H355" i="1"/>
  <c r="I355" i="1"/>
  <c r="J355" i="1"/>
  <c r="A356" i="1"/>
  <c r="B356" i="1"/>
  <c r="C356" i="1"/>
  <c r="D356" i="1"/>
  <c r="G356" i="1"/>
  <c r="H356" i="1"/>
  <c r="I356" i="1"/>
  <c r="J356" i="1"/>
  <c r="A357" i="1"/>
  <c r="B357" i="1"/>
  <c r="C357" i="1"/>
  <c r="D357" i="1"/>
  <c r="G357" i="1"/>
  <c r="H357" i="1"/>
  <c r="I357" i="1"/>
  <c r="J357" i="1"/>
  <c r="A358" i="1"/>
  <c r="B358" i="1"/>
  <c r="C358" i="1"/>
  <c r="D358" i="1"/>
  <c r="G358" i="1"/>
  <c r="H358" i="1"/>
  <c r="I358" i="1"/>
  <c r="J358" i="1"/>
  <c r="A359" i="1"/>
  <c r="B359" i="1"/>
  <c r="C359" i="1"/>
  <c r="D359" i="1"/>
  <c r="G359" i="1"/>
  <c r="H359" i="1"/>
  <c r="I359" i="1"/>
  <c r="J359" i="1"/>
  <c r="A360" i="1"/>
  <c r="B360" i="1"/>
  <c r="C360" i="1"/>
  <c r="D360" i="1"/>
  <c r="G360" i="1"/>
  <c r="H360" i="1"/>
  <c r="I360" i="1"/>
  <c r="J360" i="1"/>
  <c r="A361" i="1"/>
  <c r="B361" i="1"/>
  <c r="C361" i="1"/>
  <c r="D361" i="1"/>
  <c r="G361" i="1"/>
  <c r="H361" i="1"/>
  <c r="I361" i="1"/>
  <c r="J361" i="1"/>
  <c r="A362" i="1"/>
  <c r="B362" i="1"/>
  <c r="C362" i="1"/>
  <c r="D362" i="1"/>
  <c r="G362" i="1"/>
  <c r="H362" i="1"/>
  <c r="I362" i="1"/>
  <c r="J362" i="1"/>
  <c r="A363" i="1"/>
  <c r="B363" i="1"/>
  <c r="C363" i="1"/>
  <c r="D363" i="1"/>
  <c r="G363" i="1"/>
  <c r="H363" i="1"/>
  <c r="I363" i="1"/>
  <c r="J363" i="1"/>
  <c r="A364" i="1"/>
  <c r="B364" i="1"/>
  <c r="C364" i="1"/>
  <c r="D364" i="1"/>
  <c r="G364" i="1"/>
  <c r="H364" i="1"/>
  <c r="I364" i="1"/>
  <c r="J364" i="1"/>
  <c r="A365" i="1"/>
  <c r="B365" i="1"/>
  <c r="C365" i="1"/>
  <c r="D365" i="1"/>
  <c r="G365" i="1"/>
  <c r="H365" i="1"/>
  <c r="I365" i="1"/>
  <c r="J365" i="1"/>
  <c r="A366" i="1"/>
  <c r="B366" i="1"/>
  <c r="C366" i="1"/>
  <c r="D366" i="1"/>
  <c r="G366" i="1"/>
  <c r="H366" i="1"/>
  <c r="I366" i="1"/>
  <c r="J366" i="1"/>
  <c r="A367" i="1"/>
  <c r="B367" i="1"/>
  <c r="C367" i="1"/>
  <c r="D367" i="1"/>
  <c r="G367" i="1"/>
  <c r="H367" i="1"/>
  <c r="I367" i="1"/>
  <c r="J367" i="1"/>
  <c r="A368" i="1"/>
  <c r="B368" i="1"/>
  <c r="C368" i="1"/>
  <c r="D368" i="1"/>
  <c r="G368" i="1"/>
  <c r="H368" i="1"/>
  <c r="I368" i="1"/>
  <c r="J368" i="1"/>
  <c r="A369" i="1"/>
  <c r="B369" i="1"/>
  <c r="C369" i="1"/>
  <c r="D369" i="1"/>
  <c r="G369" i="1"/>
  <c r="H369" i="1"/>
  <c r="I369" i="1"/>
  <c r="J369" i="1"/>
  <c r="A370" i="1"/>
  <c r="B370" i="1"/>
  <c r="C370" i="1"/>
  <c r="D370" i="1"/>
  <c r="G370" i="1"/>
  <c r="H370" i="1"/>
  <c r="I370" i="1"/>
  <c r="J370" i="1"/>
  <c r="A371" i="1"/>
  <c r="B371" i="1"/>
  <c r="C371" i="1"/>
  <c r="D371" i="1"/>
  <c r="G371" i="1"/>
  <c r="H371" i="1"/>
  <c r="I371" i="1"/>
  <c r="J371" i="1"/>
  <c r="A372" i="1"/>
  <c r="B372" i="1"/>
  <c r="C372" i="1"/>
  <c r="D372" i="1"/>
  <c r="G372" i="1"/>
  <c r="H372" i="1"/>
  <c r="I372" i="1"/>
  <c r="J372" i="1"/>
  <c r="A373" i="1"/>
  <c r="B373" i="1"/>
  <c r="C373" i="1"/>
  <c r="D373" i="1"/>
  <c r="G373" i="1"/>
  <c r="H373" i="1"/>
  <c r="I373" i="1"/>
  <c r="J373" i="1"/>
  <c r="A374" i="1"/>
  <c r="B374" i="1"/>
  <c r="C374" i="1"/>
  <c r="D374" i="1"/>
  <c r="G374" i="1"/>
  <c r="H374" i="1"/>
  <c r="I374" i="1"/>
  <c r="J374" i="1"/>
  <c r="A375" i="1"/>
  <c r="B375" i="1"/>
  <c r="C375" i="1"/>
  <c r="D375" i="1"/>
  <c r="G375" i="1"/>
  <c r="H375" i="1"/>
  <c r="I375" i="1"/>
  <c r="J375" i="1"/>
  <c r="A376" i="1"/>
  <c r="B376" i="1"/>
  <c r="C376" i="1"/>
  <c r="D376" i="1"/>
  <c r="G376" i="1"/>
  <c r="H376" i="1"/>
  <c r="I376" i="1"/>
  <c r="J376" i="1"/>
  <c r="A377" i="1"/>
  <c r="B377" i="1"/>
  <c r="C377" i="1"/>
  <c r="D377" i="1"/>
  <c r="G377" i="1"/>
  <c r="H377" i="1"/>
  <c r="I377" i="1"/>
  <c r="J377" i="1"/>
  <c r="A378" i="1"/>
  <c r="B378" i="1"/>
  <c r="C378" i="1"/>
  <c r="D378" i="1"/>
  <c r="G378" i="1"/>
  <c r="H378" i="1"/>
  <c r="I378" i="1"/>
  <c r="J378" i="1"/>
  <c r="A379" i="1"/>
  <c r="B379" i="1"/>
  <c r="C379" i="1"/>
  <c r="D379" i="1"/>
  <c r="G379" i="1"/>
  <c r="H379" i="1"/>
  <c r="I379" i="1"/>
  <c r="J379" i="1"/>
  <c r="A380" i="1"/>
  <c r="B380" i="1"/>
  <c r="C380" i="1"/>
  <c r="D380" i="1"/>
  <c r="G380" i="1"/>
  <c r="H380" i="1"/>
  <c r="I380" i="1"/>
  <c r="J380" i="1"/>
  <c r="A381" i="1"/>
  <c r="B381" i="1"/>
  <c r="C381" i="1"/>
  <c r="D381" i="1"/>
  <c r="G381" i="1"/>
  <c r="H381" i="1"/>
  <c r="I381" i="1"/>
  <c r="J381" i="1"/>
  <c r="A382" i="1"/>
  <c r="B382" i="1"/>
  <c r="C382" i="1"/>
  <c r="D382" i="1"/>
  <c r="G382" i="1"/>
  <c r="H382" i="1"/>
  <c r="I382" i="1"/>
  <c r="J382" i="1"/>
  <c r="A383" i="1"/>
  <c r="B383" i="1"/>
  <c r="C383" i="1"/>
  <c r="D383" i="1"/>
  <c r="G383" i="1"/>
  <c r="H383" i="1"/>
  <c r="I383" i="1"/>
  <c r="J383" i="1"/>
  <c r="A384" i="1"/>
  <c r="B384" i="1"/>
  <c r="C384" i="1"/>
  <c r="D384" i="1"/>
  <c r="G384" i="1"/>
  <c r="H384" i="1"/>
  <c r="I384" i="1"/>
  <c r="J384" i="1"/>
  <c r="A385" i="1"/>
  <c r="B385" i="1"/>
  <c r="C385" i="1"/>
  <c r="D385" i="1"/>
  <c r="G385" i="1"/>
  <c r="H385" i="1"/>
  <c r="I385" i="1"/>
  <c r="J385" i="1"/>
  <c r="A386" i="1"/>
  <c r="B386" i="1"/>
  <c r="C386" i="1"/>
  <c r="D386" i="1"/>
  <c r="G386" i="1"/>
  <c r="H386" i="1"/>
  <c r="I386" i="1"/>
  <c r="J386" i="1"/>
  <c r="A387" i="1"/>
  <c r="B387" i="1"/>
  <c r="C387" i="1"/>
  <c r="D387" i="1"/>
  <c r="G387" i="1"/>
  <c r="H387" i="1"/>
  <c r="I387" i="1"/>
  <c r="J387" i="1"/>
  <c r="A388" i="1"/>
  <c r="B388" i="1"/>
  <c r="C388" i="1"/>
  <c r="D388" i="1"/>
  <c r="G388" i="1"/>
  <c r="H388" i="1"/>
  <c r="I388" i="1"/>
  <c r="J388" i="1"/>
  <c r="A389" i="1"/>
  <c r="B389" i="1"/>
  <c r="C389" i="1"/>
  <c r="D389" i="1"/>
  <c r="G389" i="1"/>
  <c r="H389" i="1"/>
  <c r="I389" i="1"/>
  <c r="J389" i="1"/>
  <c r="A390" i="1"/>
  <c r="B390" i="1"/>
  <c r="C390" i="1"/>
  <c r="D390" i="1"/>
  <c r="G390" i="1"/>
  <c r="H390" i="1"/>
  <c r="I390" i="1"/>
  <c r="J390" i="1"/>
  <c r="A391" i="1"/>
  <c r="B391" i="1"/>
  <c r="C391" i="1"/>
  <c r="D391" i="1"/>
  <c r="G391" i="1"/>
  <c r="H391" i="1"/>
  <c r="I391" i="1"/>
  <c r="J391" i="1"/>
  <c r="A392" i="1"/>
  <c r="B392" i="1"/>
  <c r="C392" i="1"/>
  <c r="D392" i="1"/>
  <c r="G392" i="1"/>
  <c r="H392" i="1"/>
  <c r="I392" i="1"/>
  <c r="J392" i="1"/>
  <c r="A393" i="1"/>
  <c r="B393" i="1"/>
  <c r="C393" i="1"/>
  <c r="D393" i="1"/>
  <c r="G393" i="1"/>
  <c r="H393" i="1"/>
  <c r="I393" i="1"/>
  <c r="J393" i="1"/>
  <c r="A394" i="1"/>
  <c r="B394" i="1"/>
  <c r="C394" i="1"/>
  <c r="D394" i="1"/>
  <c r="G394" i="1"/>
  <c r="H394" i="1"/>
  <c r="I394" i="1"/>
  <c r="J394" i="1"/>
  <c r="A395" i="1"/>
  <c r="B395" i="1"/>
  <c r="C395" i="1"/>
  <c r="D395" i="1"/>
  <c r="G395" i="1"/>
  <c r="H395" i="1"/>
  <c r="I395" i="1"/>
  <c r="J395" i="1"/>
  <c r="A396" i="1"/>
  <c r="B396" i="1"/>
  <c r="C396" i="1"/>
  <c r="D396" i="1"/>
  <c r="G396" i="1"/>
  <c r="H396" i="1"/>
  <c r="I396" i="1"/>
  <c r="J396" i="1"/>
  <c r="A397" i="1"/>
  <c r="B397" i="1"/>
  <c r="C397" i="1"/>
  <c r="D397" i="1"/>
  <c r="G397" i="1"/>
  <c r="H397" i="1"/>
  <c r="I397" i="1"/>
  <c r="J397" i="1"/>
  <c r="A398" i="1"/>
  <c r="B398" i="1"/>
  <c r="C398" i="1"/>
  <c r="D398" i="1"/>
  <c r="G398" i="1"/>
  <c r="H398" i="1"/>
  <c r="I398" i="1"/>
  <c r="J398" i="1"/>
  <c r="A399" i="1"/>
  <c r="B399" i="1"/>
  <c r="C399" i="1"/>
  <c r="D399" i="1"/>
  <c r="G399" i="1"/>
  <c r="H399" i="1"/>
  <c r="I399" i="1"/>
  <c r="J399" i="1"/>
  <c r="A400" i="1"/>
  <c r="B400" i="1"/>
  <c r="C400" i="1"/>
  <c r="D400" i="1"/>
  <c r="G400" i="1"/>
  <c r="H400" i="1"/>
  <c r="I400" i="1"/>
  <c r="J400" i="1"/>
  <c r="A401" i="1"/>
  <c r="B401" i="1"/>
  <c r="C401" i="1"/>
  <c r="D401" i="1"/>
  <c r="G401" i="1"/>
  <c r="H401" i="1"/>
  <c r="I401" i="1"/>
  <c r="J401" i="1"/>
  <c r="A402" i="1"/>
  <c r="B402" i="1"/>
  <c r="C402" i="1"/>
  <c r="D402" i="1"/>
  <c r="G402" i="1"/>
  <c r="H402" i="1"/>
  <c r="I402" i="1"/>
  <c r="J402" i="1"/>
  <c r="A403" i="1"/>
  <c r="B403" i="1"/>
  <c r="C403" i="1"/>
  <c r="D403" i="1"/>
  <c r="G403" i="1"/>
  <c r="H403" i="1"/>
  <c r="I403" i="1"/>
  <c r="J403" i="1"/>
  <c r="A404" i="1"/>
  <c r="B404" i="1"/>
  <c r="C404" i="1"/>
  <c r="D404" i="1"/>
  <c r="G404" i="1"/>
  <c r="H404" i="1"/>
  <c r="I404" i="1"/>
  <c r="J404" i="1"/>
  <c r="A405" i="1"/>
  <c r="B405" i="1"/>
  <c r="C405" i="1"/>
  <c r="D405" i="1"/>
  <c r="G405" i="1"/>
  <c r="H405" i="1"/>
  <c r="I405" i="1"/>
  <c r="J405" i="1"/>
  <c r="A406" i="1"/>
  <c r="B406" i="1"/>
  <c r="C406" i="1"/>
  <c r="D406" i="1"/>
  <c r="G406" i="1"/>
  <c r="H406" i="1"/>
  <c r="I406" i="1"/>
  <c r="J406" i="1"/>
  <c r="A407" i="1"/>
  <c r="B407" i="1"/>
  <c r="C407" i="1"/>
  <c r="D407" i="1"/>
  <c r="G407" i="1"/>
  <c r="H407" i="1"/>
  <c r="I407" i="1"/>
  <c r="J407" i="1"/>
  <c r="A408" i="1"/>
  <c r="B408" i="1"/>
  <c r="C408" i="1"/>
  <c r="D408" i="1"/>
  <c r="G408" i="1"/>
  <c r="H408" i="1"/>
  <c r="I408" i="1"/>
  <c r="J408" i="1"/>
  <c r="A409" i="1"/>
  <c r="B409" i="1"/>
  <c r="C409" i="1"/>
  <c r="D409" i="1"/>
  <c r="G409" i="1"/>
  <c r="H409" i="1"/>
  <c r="I409" i="1"/>
  <c r="J409" i="1"/>
  <c r="A410" i="1"/>
  <c r="B410" i="1"/>
  <c r="C410" i="1"/>
  <c r="D410" i="1"/>
  <c r="G410" i="1"/>
  <c r="H410" i="1"/>
  <c r="I410" i="1"/>
  <c r="J410" i="1"/>
  <c r="A411" i="1"/>
  <c r="B411" i="1"/>
  <c r="C411" i="1"/>
  <c r="D411" i="1"/>
  <c r="G411" i="1"/>
  <c r="H411" i="1"/>
  <c r="I411" i="1"/>
  <c r="J411" i="1"/>
  <c r="A412" i="1"/>
  <c r="B412" i="1"/>
  <c r="C412" i="1"/>
  <c r="D412" i="1"/>
  <c r="G412" i="1"/>
  <c r="H412" i="1"/>
  <c r="I412" i="1"/>
  <c r="J412" i="1"/>
  <c r="A413" i="1"/>
  <c r="B413" i="1"/>
  <c r="C413" i="1"/>
  <c r="D413" i="1"/>
  <c r="G413" i="1"/>
  <c r="H413" i="1"/>
  <c r="I413" i="1"/>
  <c r="J413" i="1"/>
  <c r="A414" i="1"/>
  <c r="B414" i="1"/>
  <c r="C414" i="1"/>
  <c r="D414" i="1"/>
  <c r="G414" i="1"/>
  <c r="H414" i="1"/>
  <c r="I414" i="1"/>
  <c r="J414" i="1"/>
  <c r="A415" i="1"/>
  <c r="B415" i="1"/>
  <c r="C415" i="1"/>
  <c r="D415" i="1"/>
  <c r="G415" i="1"/>
  <c r="H415" i="1"/>
  <c r="I415" i="1"/>
  <c r="J415" i="1"/>
  <c r="A416" i="1"/>
  <c r="B416" i="1"/>
  <c r="C416" i="1"/>
  <c r="D416" i="1"/>
  <c r="G416" i="1"/>
  <c r="H416" i="1"/>
  <c r="I416" i="1"/>
  <c r="J416" i="1"/>
  <c r="A417" i="1"/>
  <c r="B417" i="1"/>
  <c r="C417" i="1"/>
  <c r="D417" i="1"/>
  <c r="G417" i="1"/>
  <c r="H417" i="1"/>
  <c r="I417" i="1"/>
  <c r="J417" i="1"/>
  <c r="A418" i="1"/>
  <c r="B418" i="1"/>
  <c r="C418" i="1"/>
  <c r="D418" i="1"/>
  <c r="G418" i="1"/>
  <c r="H418" i="1"/>
  <c r="I418" i="1"/>
  <c r="J418" i="1"/>
  <c r="A419" i="1"/>
  <c r="B419" i="1"/>
  <c r="C419" i="1"/>
  <c r="D419" i="1"/>
  <c r="G419" i="1"/>
  <c r="H419" i="1"/>
  <c r="I419" i="1"/>
  <c r="J419" i="1"/>
  <c r="A420" i="1"/>
  <c r="B420" i="1"/>
  <c r="C420" i="1"/>
  <c r="D420" i="1"/>
  <c r="G420" i="1"/>
  <c r="H420" i="1"/>
  <c r="I420" i="1"/>
  <c r="J420" i="1"/>
  <c r="A421" i="1"/>
  <c r="B421" i="1"/>
  <c r="C421" i="1"/>
  <c r="D421" i="1"/>
  <c r="G421" i="1"/>
  <c r="H421" i="1"/>
  <c r="I421" i="1"/>
  <c r="J421" i="1"/>
  <c r="A422" i="1"/>
  <c r="B422" i="1"/>
  <c r="C422" i="1"/>
  <c r="D422" i="1"/>
  <c r="G422" i="1"/>
  <c r="H422" i="1"/>
  <c r="I422" i="1"/>
  <c r="J422" i="1"/>
  <c r="A423" i="1"/>
  <c r="B423" i="1"/>
  <c r="C423" i="1"/>
  <c r="D423" i="1"/>
  <c r="G423" i="1"/>
  <c r="H423" i="1"/>
  <c r="I423" i="1"/>
  <c r="J423" i="1"/>
  <c r="A424" i="1"/>
  <c r="B424" i="1"/>
  <c r="C424" i="1"/>
  <c r="D424" i="1"/>
  <c r="G424" i="1"/>
  <c r="H424" i="1"/>
  <c r="I424" i="1"/>
  <c r="J424" i="1"/>
  <c r="A425" i="1"/>
  <c r="B425" i="1"/>
  <c r="C425" i="1"/>
  <c r="D425" i="1"/>
  <c r="G425" i="1"/>
  <c r="H425" i="1"/>
  <c r="I425" i="1"/>
  <c r="J425" i="1"/>
  <c r="A426" i="1"/>
  <c r="B426" i="1"/>
  <c r="C426" i="1"/>
  <c r="D426" i="1"/>
  <c r="G426" i="1"/>
  <c r="H426" i="1"/>
  <c r="I426" i="1"/>
  <c r="J426" i="1"/>
  <c r="A427" i="1"/>
  <c r="B427" i="1"/>
  <c r="C427" i="1"/>
  <c r="D427" i="1"/>
  <c r="G427" i="1"/>
  <c r="H427" i="1"/>
  <c r="I427" i="1"/>
  <c r="J427" i="1"/>
  <c r="A428" i="1"/>
  <c r="B428" i="1"/>
  <c r="C428" i="1"/>
  <c r="D428" i="1"/>
  <c r="G428" i="1"/>
  <c r="H428" i="1"/>
  <c r="I428" i="1"/>
  <c r="J428" i="1"/>
  <c r="A429" i="1"/>
  <c r="B429" i="1"/>
  <c r="C429" i="1"/>
  <c r="D429" i="1"/>
  <c r="G429" i="1"/>
  <c r="H429" i="1"/>
  <c r="I429" i="1"/>
  <c r="J429" i="1"/>
  <c r="A430" i="1"/>
  <c r="B430" i="1"/>
  <c r="C430" i="1"/>
  <c r="D430" i="1"/>
  <c r="G430" i="1"/>
  <c r="H430" i="1"/>
  <c r="I430" i="1"/>
  <c r="J430" i="1"/>
  <c r="A431" i="1"/>
  <c r="B431" i="1"/>
  <c r="C431" i="1"/>
  <c r="D431" i="1"/>
  <c r="G431" i="1"/>
  <c r="H431" i="1"/>
  <c r="I431" i="1"/>
  <c r="J431" i="1"/>
  <c r="A432" i="1"/>
  <c r="B432" i="1"/>
  <c r="C432" i="1"/>
  <c r="D432" i="1"/>
  <c r="G432" i="1"/>
  <c r="H432" i="1"/>
  <c r="I432" i="1"/>
  <c r="J432" i="1"/>
  <c r="A433" i="1"/>
  <c r="B433" i="1"/>
  <c r="C433" i="1"/>
  <c r="D433" i="1"/>
  <c r="G433" i="1"/>
  <c r="H433" i="1"/>
  <c r="I433" i="1"/>
  <c r="J433" i="1"/>
  <c r="A434" i="1"/>
  <c r="B434" i="1"/>
  <c r="C434" i="1"/>
  <c r="D434" i="1"/>
  <c r="G434" i="1"/>
  <c r="H434" i="1"/>
  <c r="I434" i="1"/>
  <c r="J434" i="1"/>
  <c r="A435" i="1"/>
  <c r="B435" i="1"/>
  <c r="C435" i="1"/>
  <c r="D435" i="1"/>
  <c r="G435" i="1"/>
  <c r="H435" i="1"/>
  <c r="I435" i="1"/>
  <c r="J435" i="1"/>
  <c r="A436" i="1"/>
  <c r="B436" i="1"/>
  <c r="C436" i="1"/>
  <c r="D436" i="1"/>
  <c r="G436" i="1"/>
  <c r="H436" i="1"/>
  <c r="I436" i="1"/>
  <c r="J436" i="1"/>
  <c r="A437" i="1"/>
  <c r="B437" i="1"/>
  <c r="C437" i="1"/>
  <c r="D437" i="1"/>
  <c r="G437" i="1"/>
  <c r="H437" i="1"/>
  <c r="I437" i="1"/>
  <c r="J437" i="1"/>
  <c r="A438" i="1"/>
  <c r="B438" i="1"/>
  <c r="C438" i="1"/>
  <c r="D438" i="1"/>
  <c r="G438" i="1"/>
  <c r="H438" i="1"/>
  <c r="I438" i="1"/>
  <c r="J438" i="1"/>
  <c r="A439" i="1"/>
  <c r="B439" i="1"/>
  <c r="C439" i="1"/>
  <c r="D439" i="1"/>
  <c r="G439" i="1"/>
  <c r="H439" i="1"/>
  <c r="I439" i="1"/>
  <c r="J439" i="1"/>
  <c r="A440" i="1"/>
  <c r="B440" i="1"/>
  <c r="C440" i="1"/>
  <c r="D440" i="1"/>
  <c r="G440" i="1"/>
  <c r="H440" i="1"/>
  <c r="I440" i="1"/>
  <c r="J440" i="1"/>
  <c r="A441" i="1"/>
  <c r="B441" i="1"/>
  <c r="C441" i="1"/>
  <c r="D441" i="1"/>
  <c r="G441" i="1"/>
  <c r="H441" i="1"/>
  <c r="I441" i="1"/>
  <c r="J441" i="1"/>
  <c r="A442" i="1"/>
  <c r="B442" i="1"/>
  <c r="C442" i="1"/>
  <c r="D442" i="1"/>
  <c r="G442" i="1"/>
  <c r="H442" i="1"/>
  <c r="I442" i="1"/>
  <c r="J442" i="1"/>
  <c r="A443" i="1"/>
  <c r="B443" i="1"/>
  <c r="C443" i="1"/>
  <c r="D443" i="1"/>
  <c r="G443" i="1"/>
  <c r="H443" i="1"/>
  <c r="I443" i="1"/>
  <c r="J443" i="1"/>
  <c r="A444" i="1"/>
  <c r="B444" i="1"/>
  <c r="C444" i="1"/>
  <c r="D444" i="1"/>
  <c r="G444" i="1"/>
  <c r="H444" i="1"/>
  <c r="I444" i="1"/>
  <c r="J444" i="1"/>
  <c r="A445" i="1"/>
  <c r="B445" i="1"/>
  <c r="C445" i="1"/>
  <c r="D445" i="1"/>
  <c r="G445" i="1"/>
  <c r="H445" i="1"/>
  <c r="I445" i="1"/>
  <c r="J445" i="1"/>
  <c r="A446" i="1"/>
  <c r="B446" i="1"/>
  <c r="C446" i="1"/>
  <c r="D446" i="1"/>
  <c r="G446" i="1"/>
  <c r="H446" i="1"/>
  <c r="I446" i="1"/>
  <c r="J446" i="1"/>
  <c r="A447" i="1"/>
  <c r="B447" i="1"/>
  <c r="C447" i="1"/>
  <c r="D447" i="1"/>
  <c r="G447" i="1"/>
  <c r="H447" i="1"/>
  <c r="I447" i="1"/>
  <c r="J447" i="1"/>
  <c r="A448" i="1"/>
  <c r="B448" i="1"/>
  <c r="C448" i="1"/>
  <c r="D448" i="1"/>
  <c r="G448" i="1"/>
  <c r="H448" i="1"/>
  <c r="I448" i="1"/>
  <c r="J448" i="1"/>
  <c r="A449" i="1"/>
  <c r="B449" i="1"/>
  <c r="C449" i="1"/>
  <c r="D449" i="1"/>
  <c r="G449" i="1"/>
  <c r="H449" i="1"/>
  <c r="I449" i="1"/>
  <c r="J449" i="1"/>
  <c r="A450" i="1"/>
  <c r="B450" i="1"/>
  <c r="C450" i="1"/>
  <c r="D450" i="1"/>
  <c r="G450" i="1"/>
  <c r="H450" i="1"/>
  <c r="I450" i="1"/>
  <c r="J450" i="1"/>
  <c r="A451" i="1"/>
  <c r="B451" i="1"/>
  <c r="C451" i="1"/>
  <c r="D451" i="1"/>
  <c r="G451" i="1"/>
  <c r="H451" i="1"/>
  <c r="I451" i="1"/>
  <c r="J451" i="1"/>
  <c r="A452" i="1"/>
  <c r="B452" i="1"/>
  <c r="C452" i="1"/>
  <c r="D452" i="1"/>
  <c r="G452" i="1"/>
  <c r="H452" i="1"/>
  <c r="I452" i="1"/>
  <c r="J452" i="1"/>
  <c r="A453" i="1"/>
  <c r="B453" i="1"/>
  <c r="C453" i="1"/>
  <c r="D453" i="1"/>
  <c r="G453" i="1"/>
  <c r="H453" i="1"/>
  <c r="I453" i="1"/>
  <c r="J453" i="1"/>
  <c r="A454" i="1"/>
  <c r="B454" i="1"/>
  <c r="C454" i="1"/>
  <c r="D454" i="1"/>
  <c r="G454" i="1"/>
  <c r="H454" i="1"/>
  <c r="I454" i="1"/>
  <c r="J454" i="1"/>
  <c r="A455" i="1"/>
  <c r="B455" i="1"/>
  <c r="C455" i="1"/>
  <c r="D455" i="1"/>
  <c r="G455" i="1"/>
  <c r="H455" i="1"/>
  <c r="I455" i="1"/>
  <c r="J455" i="1"/>
  <c r="A456" i="1"/>
  <c r="B456" i="1"/>
  <c r="C456" i="1"/>
  <c r="D456" i="1"/>
  <c r="G456" i="1"/>
  <c r="H456" i="1"/>
  <c r="I456" i="1"/>
  <c r="J456" i="1"/>
  <c r="A457" i="1"/>
  <c r="B457" i="1"/>
  <c r="C457" i="1"/>
  <c r="D457" i="1"/>
  <c r="G457" i="1"/>
  <c r="H457" i="1"/>
  <c r="I457" i="1"/>
  <c r="J457" i="1"/>
  <c r="A458" i="1"/>
  <c r="B458" i="1"/>
  <c r="C458" i="1"/>
  <c r="D458" i="1"/>
  <c r="G458" i="1"/>
  <c r="H458" i="1"/>
  <c r="I458" i="1"/>
  <c r="J458" i="1"/>
  <c r="A459" i="1"/>
  <c r="B459" i="1"/>
  <c r="C459" i="1"/>
  <c r="D459" i="1"/>
  <c r="G459" i="1"/>
  <c r="H459" i="1"/>
  <c r="I459" i="1"/>
  <c r="J459" i="1"/>
  <c r="A460" i="1"/>
  <c r="B460" i="1"/>
  <c r="C460" i="1"/>
  <c r="D460" i="1"/>
  <c r="G460" i="1"/>
  <c r="H460" i="1"/>
  <c r="I460" i="1"/>
  <c r="J460" i="1"/>
  <c r="A461" i="1"/>
  <c r="B461" i="1"/>
  <c r="C461" i="1"/>
  <c r="D461" i="1"/>
  <c r="G461" i="1"/>
  <c r="H461" i="1"/>
  <c r="I461" i="1"/>
  <c r="J461" i="1"/>
  <c r="A462" i="1"/>
  <c r="B462" i="1"/>
  <c r="C462" i="1"/>
  <c r="D462" i="1"/>
  <c r="G462" i="1"/>
  <c r="H462" i="1"/>
  <c r="I462" i="1"/>
  <c r="J462" i="1"/>
  <c r="A463" i="1"/>
  <c r="B463" i="1"/>
  <c r="C463" i="1"/>
  <c r="D463" i="1"/>
  <c r="G463" i="1"/>
  <c r="H463" i="1"/>
  <c r="I463" i="1"/>
  <c r="J463" i="1"/>
  <c r="A464" i="1"/>
  <c r="B464" i="1"/>
  <c r="C464" i="1"/>
  <c r="D464" i="1"/>
  <c r="G464" i="1"/>
  <c r="H464" i="1"/>
  <c r="I464" i="1"/>
  <c r="J464" i="1"/>
  <c r="A465" i="1"/>
  <c r="B465" i="1"/>
  <c r="C465" i="1"/>
  <c r="D465" i="1"/>
  <c r="G465" i="1"/>
  <c r="H465" i="1"/>
  <c r="I465" i="1"/>
  <c r="J465" i="1"/>
  <c r="A466" i="1"/>
  <c r="B466" i="1"/>
  <c r="C466" i="1"/>
  <c r="D466" i="1"/>
  <c r="G466" i="1"/>
  <c r="H466" i="1"/>
  <c r="I466" i="1"/>
  <c r="J466" i="1"/>
  <c r="A467" i="1"/>
  <c r="B467" i="1"/>
  <c r="C467" i="1"/>
  <c r="D467" i="1"/>
  <c r="G467" i="1"/>
  <c r="H467" i="1"/>
  <c r="I467" i="1"/>
  <c r="J467" i="1"/>
  <c r="A468" i="1"/>
  <c r="B468" i="1"/>
  <c r="C468" i="1"/>
  <c r="D468" i="1"/>
  <c r="G468" i="1"/>
  <c r="H468" i="1"/>
  <c r="I468" i="1"/>
  <c r="J468" i="1"/>
  <c r="A469" i="1"/>
  <c r="B469" i="1"/>
  <c r="C469" i="1"/>
  <c r="D469" i="1"/>
  <c r="G469" i="1"/>
  <c r="H469" i="1"/>
  <c r="I469" i="1"/>
  <c r="J469" i="1"/>
  <c r="A470" i="1"/>
  <c r="B470" i="1"/>
  <c r="C470" i="1"/>
  <c r="D470" i="1"/>
  <c r="G470" i="1"/>
  <c r="H470" i="1"/>
  <c r="I470" i="1"/>
  <c r="J470" i="1"/>
  <c r="A471" i="1"/>
  <c r="B471" i="1"/>
  <c r="C471" i="1"/>
  <c r="D471" i="1"/>
  <c r="G471" i="1"/>
  <c r="H471" i="1"/>
  <c r="I471" i="1"/>
  <c r="J471" i="1"/>
  <c r="A472" i="1"/>
  <c r="B472" i="1"/>
  <c r="C472" i="1"/>
  <c r="D472" i="1"/>
  <c r="G472" i="1"/>
  <c r="H472" i="1"/>
  <c r="I472" i="1"/>
  <c r="J472" i="1"/>
  <c r="A473" i="1"/>
  <c r="B473" i="1"/>
  <c r="C473" i="1"/>
  <c r="D473" i="1"/>
  <c r="G473" i="1"/>
  <c r="H473" i="1"/>
  <c r="I473" i="1"/>
  <c r="J473" i="1"/>
  <c r="A474" i="1"/>
  <c r="B474" i="1"/>
  <c r="C474" i="1"/>
  <c r="D474" i="1"/>
  <c r="G474" i="1"/>
  <c r="H474" i="1"/>
  <c r="I474" i="1"/>
  <c r="J474" i="1"/>
  <c r="A475" i="1"/>
  <c r="B475" i="1"/>
  <c r="C475" i="1"/>
  <c r="D475" i="1"/>
  <c r="G475" i="1"/>
  <c r="H475" i="1"/>
  <c r="I475" i="1"/>
  <c r="J475" i="1"/>
  <c r="A476" i="1"/>
  <c r="B476" i="1"/>
  <c r="C476" i="1"/>
  <c r="D476" i="1"/>
  <c r="G476" i="1"/>
  <c r="H476" i="1"/>
  <c r="I476" i="1"/>
  <c r="J476" i="1"/>
  <c r="A477" i="1"/>
  <c r="B477" i="1"/>
  <c r="C477" i="1"/>
  <c r="D477" i="1"/>
  <c r="G477" i="1"/>
  <c r="H477" i="1"/>
  <c r="I477" i="1"/>
  <c r="J477" i="1"/>
  <c r="A478" i="1"/>
  <c r="B478" i="1"/>
  <c r="C478" i="1"/>
  <c r="D478" i="1"/>
  <c r="G478" i="1"/>
  <c r="H478" i="1"/>
  <c r="I478" i="1"/>
  <c r="J478" i="1"/>
  <c r="A479" i="1"/>
  <c r="B479" i="1"/>
  <c r="C479" i="1"/>
  <c r="D479" i="1"/>
  <c r="G479" i="1"/>
  <c r="H479" i="1"/>
  <c r="I479" i="1"/>
  <c r="J479" i="1"/>
  <c r="A480" i="1"/>
  <c r="B480" i="1"/>
  <c r="C480" i="1"/>
  <c r="D480" i="1"/>
  <c r="G480" i="1"/>
  <c r="H480" i="1"/>
  <c r="I480" i="1"/>
  <c r="J480" i="1"/>
  <c r="A481" i="1"/>
  <c r="B481" i="1"/>
  <c r="C481" i="1"/>
  <c r="D481" i="1"/>
  <c r="G481" i="1"/>
  <c r="H481" i="1"/>
  <c r="I481" i="1"/>
  <c r="J481" i="1"/>
  <c r="A482" i="1"/>
  <c r="B482" i="1"/>
  <c r="C482" i="1"/>
  <c r="D482" i="1"/>
  <c r="G482" i="1"/>
  <c r="H482" i="1"/>
  <c r="I482" i="1"/>
  <c r="J482" i="1"/>
  <c r="A483" i="1"/>
  <c r="B483" i="1"/>
  <c r="C483" i="1"/>
  <c r="D483" i="1"/>
  <c r="G483" i="1"/>
  <c r="H483" i="1"/>
  <c r="I483" i="1"/>
  <c r="J483" i="1"/>
  <c r="A484" i="1"/>
  <c r="B484" i="1"/>
  <c r="C484" i="1"/>
  <c r="D484" i="1"/>
  <c r="G484" i="1"/>
  <c r="H484" i="1"/>
  <c r="I484" i="1"/>
  <c r="J484" i="1"/>
  <c r="A485" i="1"/>
  <c r="B485" i="1"/>
  <c r="C485" i="1"/>
  <c r="D485" i="1"/>
  <c r="G485" i="1"/>
  <c r="H485" i="1"/>
  <c r="I485" i="1"/>
  <c r="J485" i="1"/>
  <c r="A486" i="1"/>
  <c r="B486" i="1"/>
  <c r="C486" i="1"/>
  <c r="D486" i="1"/>
  <c r="G486" i="1"/>
  <c r="H486" i="1"/>
  <c r="I486" i="1"/>
  <c r="J486" i="1"/>
  <c r="A487" i="1"/>
  <c r="B487" i="1"/>
  <c r="C487" i="1"/>
  <c r="D487" i="1"/>
  <c r="G487" i="1"/>
  <c r="H487" i="1"/>
  <c r="I487" i="1"/>
  <c r="J487" i="1"/>
  <c r="A488" i="1"/>
  <c r="B488" i="1"/>
  <c r="C488" i="1"/>
  <c r="D488" i="1"/>
  <c r="G488" i="1"/>
  <c r="H488" i="1"/>
  <c r="I488" i="1"/>
  <c r="J488" i="1"/>
  <c r="A489" i="1"/>
  <c r="B489" i="1"/>
  <c r="C489" i="1"/>
  <c r="D489" i="1"/>
  <c r="G489" i="1"/>
  <c r="H489" i="1"/>
  <c r="I489" i="1"/>
  <c r="J489" i="1"/>
  <c r="A490" i="1"/>
  <c r="B490" i="1"/>
  <c r="C490" i="1"/>
  <c r="D490" i="1"/>
  <c r="G490" i="1"/>
  <c r="H490" i="1"/>
  <c r="I490" i="1"/>
  <c r="J490" i="1"/>
  <c r="A491" i="1"/>
  <c r="B491" i="1"/>
  <c r="C491" i="1"/>
  <c r="D491" i="1"/>
  <c r="G491" i="1"/>
  <c r="H491" i="1"/>
  <c r="I491" i="1"/>
  <c r="J491" i="1"/>
  <c r="A492" i="1"/>
  <c r="B492" i="1"/>
  <c r="C492" i="1"/>
  <c r="D492" i="1"/>
  <c r="G492" i="1"/>
  <c r="H492" i="1"/>
  <c r="I492" i="1"/>
  <c r="J492" i="1"/>
  <c r="A493" i="1"/>
  <c r="B493" i="1"/>
  <c r="C493" i="1"/>
  <c r="D493" i="1"/>
  <c r="G493" i="1"/>
  <c r="H493" i="1"/>
  <c r="I493" i="1"/>
  <c r="J493" i="1"/>
  <c r="A494" i="1"/>
  <c r="B494" i="1"/>
  <c r="C494" i="1"/>
  <c r="D494" i="1"/>
  <c r="G494" i="1"/>
  <c r="H494" i="1"/>
  <c r="I494" i="1"/>
  <c r="J494" i="1"/>
  <c r="A495" i="1"/>
  <c r="B495" i="1"/>
  <c r="C495" i="1"/>
  <c r="D495" i="1"/>
  <c r="G495" i="1"/>
  <c r="H495" i="1"/>
  <c r="I495" i="1"/>
  <c r="J495" i="1"/>
  <c r="A496" i="1"/>
  <c r="B496" i="1"/>
  <c r="C496" i="1"/>
  <c r="D496" i="1"/>
  <c r="G496" i="1"/>
  <c r="H496" i="1"/>
  <c r="I496" i="1"/>
  <c r="J496" i="1"/>
  <c r="A497" i="1"/>
  <c r="B497" i="1"/>
  <c r="C497" i="1"/>
  <c r="D497" i="1"/>
  <c r="G497" i="1"/>
  <c r="H497" i="1"/>
  <c r="I497" i="1"/>
  <c r="J497" i="1"/>
  <c r="A498" i="1"/>
  <c r="B498" i="1"/>
  <c r="C498" i="1"/>
  <c r="D498" i="1"/>
  <c r="G498" i="1"/>
  <c r="H498" i="1"/>
  <c r="I498" i="1"/>
  <c r="J498" i="1"/>
  <c r="A499" i="1"/>
  <c r="B499" i="1"/>
  <c r="C499" i="1"/>
  <c r="D499" i="1"/>
  <c r="G499" i="1"/>
  <c r="H499" i="1"/>
  <c r="I499" i="1"/>
  <c r="J499" i="1"/>
  <c r="A500" i="1"/>
  <c r="B500" i="1"/>
  <c r="C500" i="1"/>
  <c r="D500" i="1"/>
  <c r="G500" i="1"/>
  <c r="H500" i="1"/>
  <c r="I500" i="1"/>
  <c r="J500" i="1"/>
  <c r="A501" i="1"/>
  <c r="B501" i="1"/>
  <c r="C501" i="1"/>
  <c r="D501" i="1"/>
  <c r="G501" i="1"/>
  <c r="H501" i="1"/>
  <c r="I501" i="1"/>
  <c r="J501" i="1"/>
  <c r="A502" i="1"/>
  <c r="B502" i="1"/>
  <c r="C502" i="1"/>
  <c r="D502" i="1"/>
  <c r="G502" i="1"/>
  <c r="H502" i="1"/>
  <c r="I502" i="1"/>
  <c r="J502" i="1"/>
  <c r="A503" i="1"/>
  <c r="B503" i="1"/>
  <c r="C503" i="1"/>
  <c r="D503" i="1"/>
  <c r="G503" i="1"/>
  <c r="H503" i="1"/>
  <c r="I503" i="1"/>
  <c r="J503" i="1"/>
  <c r="A504" i="1"/>
  <c r="B504" i="1"/>
  <c r="C504" i="1"/>
  <c r="D504" i="1"/>
  <c r="G504" i="1"/>
  <c r="H504" i="1"/>
  <c r="I504" i="1"/>
  <c r="J504" i="1"/>
  <c r="A505" i="1"/>
  <c r="B505" i="1"/>
  <c r="C505" i="1"/>
  <c r="D505" i="1"/>
  <c r="G505" i="1"/>
  <c r="H505" i="1"/>
  <c r="I505" i="1"/>
  <c r="J505" i="1"/>
  <c r="A506" i="1"/>
  <c r="B506" i="1"/>
  <c r="C506" i="1"/>
  <c r="D506" i="1"/>
  <c r="G506" i="1"/>
  <c r="H506" i="1"/>
  <c r="I506" i="1"/>
  <c r="J506" i="1"/>
  <c r="A507" i="1"/>
  <c r="B507" i="1"/>
  <c r="C507" i="1"/>
  <c r="D507" i="1"/>
  <c r="G507" i="1"/>
  <c r="H507" i="1"/>
  <c r="I507" i="1"/>
  <c r="J507" i="1"/>
  <c r="A508" i="1"/>
  <c r="B508" i="1"/>
  <c r="C508" i="1"/>
  <c r="D508" i="1"/>
  <c r="G508" i="1"/>
  <c r="H508" i="1"/>
  <c r="I508" i="1"/>
  <c r="J508" i="1"/>
  <c r="A509" i="1"/>
  <c r="B509" i="1"/>
  <c r="C509" i="1"/>
  <c r="D509" i="1"/>
  <c r="G509" i="1"/>
  <c r="H509" i="1"/>
  <c r="I509" i="1"/>
  <c r="J509" i="1"/>
  <c r="A510" i="1"/>
  <c r="B510" i="1"/>
  <c r="C510" i="1"/>
  <c r="D510" i="1"/>
  <c r="G510" i="1"/>
  <c r="H510" i="1"/>
  <c r="I510" i="1"/>
  <c r="J510" i="1"/>
  <c r="A511" i="1"/>
  <c r="B511" i="1"/>
  <c r="C511" i="1"/>
  <c r="D511" i="1"/>
  <c r="G511" i="1"/>
  <c r="H511" i="1"/>
  <c r="I511" i="1"/>
  <c r="J511" i="1"/>
  <c r="A512" i="1"/>
  <c r="B512" i="1"/>
  <c r="C512" i="1"/>
  <c r="D512" i="1"/>
  <c r="G512" i="1"/>
  <c r="H512" i="1"/>
  <c r="I512" i="1"/>
  <c r="J512" i="1"/>
  <c r="A513" i="1"/>
  <c r="B513" i="1"/>
  <c r="C513" i="1"/>
  <c r="D513" i="1"/>
  <c r="G513" i="1"/>
  <c r="H513" i="1"/>
  <c r="I513" i="1"/>
  <c r="J513" i="1"/>
  <c r="A514" i="1"/>
  <c r="B514" i="1"/>
  <c r="C514" i="1"/>
  <c r="D514" i="1"/>
  <c r="G514" i="1"/>
  <c r="H514" i="1"/>
  <c r="I514" i="1"/>
  <c r="J514" i="1"/>
  <c r="A515" i="1"/>
  <c r="B515" i="1"/>
  <c r="C515" i="1"/>
  <c r="D515" i="1"/>
  <c r="G515" i="1"/>
  <c r="H515" i="1"/>
  <c r="I515" i="1"/>
  <c r="J515" i="1"/>
  <c r="A516" i="1"/>
  <c r="B516" i="1"/>
  <c r="C516" i="1"/>
  <c r="D516" i="1"/>
  <c r="G516" i="1"/>
  <c r="H516" i="1"/>
  <c r="I516" i="1"/>
  <c r="J516" i="1"/>
  <c r="A517" i="1"/>
  <c r="B517" i="1"/>
  <c r="C517" i="1"/>
  <c r="D517" i="1"/>
  <c r="G517" i="1"/>
  <c r="H517" i="1"/>
  <c r="I517" i="1"/>
  <c r="J517" i="1"/>
  <c r="A518" i="1"/>
  <c r="B518" i="1"/>
  <c r="C518" i="1"/>
  <c r="D518" i="1"/>
  <c r="G518" i="1"/>
  <c r="H518" i="1"/>
  <c r="I518" i="1"/>
  <c r="J518" i="1"/>
  <c r="A519" i="1"/>
  <c r="B519" i="1"/>
  <c r="C519" i="1"/>
  <c r="D519" i="1"/>
  <c r="G519" i="1"/>
  <c r="H519" i="1"/>
  <c r="I519" i="1"/>
  <c r="J519" i="1"/>
  <c r="A520" i="1"/>
  <c r="B520" i="1"/>
  <c r="C520" i="1"/>
  <c r="D520" i="1"/>
  <c r="G520" i="1"/>
  <c r="H520" i="1"/>
  <c r="I520" i="1"/>
  <c r="J520" i="1"/>
  <c r="A521" i="1"/>
  <c r="B521" i="1"/>
  <c r="C521" i="1"/>
  <c r="D521" i="1"/>
  <c r="G521" i="1"/>
  <c r="H521" i="1"/>
  <c r="I521" i="1"/>
  <c r="J521" i="1"/>
  <c r="A522" i="1"/>
  <c r="B522" i="1"/>
  <c r="C522" i="1"/>
  <c r="D522" i="1"/>
  <c r="G522" i="1"/>
  <c r="H522" i="1"/>
  <c r="I522" i="1"/>
  <c r="J522" i="1"/>
  <c r="A523" i="1"/>
  <c r="B523" i="1"/>
  <c r="C523" i="1"/>
  <c r="D523" i="1"/>
  <c r="G523" i="1"/>
  <c r="H523" i="1"/>
  <c r="I523" i="1"/>
  <c r="J523" i="1"/>
  <c r="A524" i="1"/>
  <c r="B524" i="1"/>
  <c r="C524" i="1"/>
  <c r="D524" i="1"/>
  <c r="G524" i="1"/>
  <c r="H524" i="1"/>
  <c r="I524" i="1"/>
  <c r="J524" i="1"/>
  <c r="A525" i="1"/>
  <c r="B525" i="1"/>
  <c r="C525" i="1"/>
  <c r="D525" i="1"/>
  <c r="G525" i="1"/>
  <c r="H525" i="1"/>
  <c r="I525" i="1"/>
  <c r="J525" i="1"/>
  <c r="A526" i="1"/>
  <c r="B526" i="1"/>
  <c r="C526" i="1"/>
  <c r="D526" i="1"/>
  <c r="G526" i="1"/>
  <c r="H526" i="1"/>
  <c r="I526" i="1"/>
  <c r="J526" i="1"/>
  <c r="A527" i="1"/>
  <c r="B527" i="1"/>
  <c r="C527" i="1"/>
  <c r="D527" i="1"/>
  <c r="G527" i="1"/>
  <c r="H527" i="1"/>
  <c r="I527" i="1"/>
  <c r="J527" i="1"/>
  <c r="A528" i="1"/>
  <c r="B528" i="1"/>
  <c r="C528" i="1"/>
  <c r="D528" i="1"/>
  <c r="G528" i="1"/>
  <c r="H528" i="1"/>
  <c r="I528" i="1"/>
  <c r="J528" i="1"/>
  <c r="A529" i="1"/>
  <c r="B529" i="1"/>
  <c r="C529" i="1"/>
  <c r="D529" i="1"/>
  <c r="G529" i="1"/>
  <c r="H529" i="1"/>
  <c r="I529" i="1"/>
  <c r="J529" i="1"/>
  <c r="A530" i="1"/>
  <c r="B530" i="1"/>
  <c r="C530" i="1"/>
  <c r="D530" i="1"/>
  <c r="G530" i="1"/>
  <c r="H530" i="1"/>
  <c r="I530" i="1"/>
  <c r="J530" i="1"/>
  <c r="A531" i="1"/>
  <c r="B531" i="1"/>
  <c r="C531" i="1"/>
  <c r="D531" i="1"/>
  <c r="G531" i="1"/>
  <c r="H531" i="1"/>
  <c r="I531" i="1"/>
  <c r="J531" i="1"/>
  <c r="A532" i="1"/>
  <c r="B532" i="1"/>
  <c r="C532" i="1"/>
  <c r="D532" i="1"/>
  <c r="G532" i="1"/>
  <c r="H532" i="1"/>
  <c r="I532" i="1"/>
  <c r="J532" i="1"/>
  <c r="A533" i="1"/>
  <c r="B533" i="1"/>
  <c r="C533" i="1"/>
  <c r="D533" i="1"/>
  <c r="G533" i="1"/>
  <c r="H533" i="1"/>
  <c r="I533" i="1"/>
  <c r="J533" i="1"/>
  <c r="A534" i="1"/>
  <c r="B534" i="1"/>
  <c r="C534" i="1"/>
  <c r="D534" i="1"/>
  <c r="G534" i="1"/>
  <c r="H534" i="1"/>
  <c r="I534" i="1"/>
  <c r="J534" i="1"/>
  <c r="A535" i="1"/>
  <c r="B535" i="1"/>
  <c r="C535" i="1"/>
  <c r="D535" i="1"/>
  <c r="G535" i="1"/>
  <c r="H535" i="1"/>
  <c r="I535" i="1"/>
  <c r="J535" i="1"/>
  <c r="A536" i="1"/>
  <c r="B536" i="1"/>
  <c r="C536" i="1"/>
  <c r="D536" i="1"/>
  <c r="G536" i="1"/>
  <c r="H536" i="1"/>
  <c r="I536" i="1"/>
  <c r="J536" i="1"/>
  <c r="A537" i="1"/>
  <c r="B537" i="1"/>
  <c r="C537" i="1"/>
  <c r="D537" i="1"/>
  <c r="G537" i="1"/>
  <c r="H537" i="1"/>
  <c r="I537" i="1"/>
  <c r="J537" i="1"/>
  <c r="A538" i="1"/>
  <c r="B538" i="1"/>
  <c r="C538" i="1"/>
  <c r="D538" i="1"/>
  <c r="G538" i="1"/>
  <c r="H538" i="1"/>
  <c r="I538" i="1"/>
  <c r="J538" i="1"/>
  <c r="A539" i="1"/>
  <c r="B539" i="1"/>
  <c r="C539" i="1"/>
  <c r="D539" i="1"/>
  <c r="G539" i="1"/>
  <c r="H539" i="1"/>
  <c r="I539" i="1"/>
  <c r="J539" i="1"/>
  <c r="A540" i="1"/>
  <c r="B540" i="1"/>
  <c r="C540" i="1"/>
  <c r="D540" i="1"/>
  <c r="G540" i="1"/>
  <c r="H540" i="1"/>
  <c r="I540" i="1"/>
  <c r="J540" i="1"/>
  <c r="A541" i="1"/>
  <c r="B541" i="1"/>
  <c r="C541" i="1"/>
  <c r="D541" i="1"/>
  <c r="G541" i="1"/>
  <c r="H541" i="1"/>
  <c r="I541" i="1"/>
  <c r="J541" i="1"/>
  <c r="A542" i="1"/>
  <c r="B542" i="1"/>
  <c r="C542" i="1"/>
  <c r="D542" i="1"/>
  <c r="G542" i="1"/>
  <c r="H542" i="1"/>
  <c r="I542" i="1"/>
  <c r="J542" i="1"/>
  <c r="A543" i="1"/>
  <c r="B543" i="1"/>
  <c r="C543" i="1"/>
  <c r="D543" i="1"/>
  <c r="G543" i="1"/>
  <c r="H543" i="1"/>
  <c r="I543" i="1"/>
  <c r="J543" i="1"/>
  <c r="A544" i="1"/>
  <c r="B544" i="1"/>
  <c r="C544" i="1"/>
  <c r="D544" i="1"/>
  <c r="G544" i="1"/>
  <c r="H544" i="1"/>
  <c r="I544" i="1"/>
  <c r="J544" i="1"/>
  <c r="A545" i="1"/>
  <c r="B545" i="1"/>
  <c r="C545" i="1"/>
  <c r="D545" i="1"/>
  <c r="G545" i="1"/>
  <c r="H545" i="1"/>
  <c r="I545" i="1"/>
  <c r="J545" i="1"/>
  <c r="A546" i="1"/>
  <c r="B546" i="1"/>
  <c r="C546" i="1"/>
  <c r="D546" i="1"/>
  <c r="G546" i="1"/>
  <c r="H546" i="1"/>
  <c r="I546" i="1"/>
  <c r="J546" i="1"/>
  <c r="A547" i="1"/>
  <c r="B547" i="1"/>
  <c r="C547" i="1"/>
  <c r="D547" i="1"/>
  <c r="G547" i="1"/>
  <c r="H547" i="1"/>
  <c r="I547" i="1"/>
  <c r="J547" i="1"/>
  <c r="A548" i="1"/>
  <c r="B548" i="1"/>
  <c r="C548" i="1"/>
  <c r="D548" i="1"/>
  <c r="G548" i="1"/>
  <c r="H548" i="1"/>
  <c r="I548" i="1"/>
  <c r="J548" i="1"/>
  <c r="A549" i="1"/>
  <c r="B549" i="1"/>
  <c r="C549" i="1"/>
  <c r="D549" i="1"/>
  <c r="G549" i="1"/>
  <c r="H549" i="1"/>
  <c r="I549" i="1"/>
  <c r="J549" i="1"/>
  <c r="A550" i="1"/>
  <c r="B550" i="1"/>
  <c r="C550" i="1"/>
  <c r="D550" i="1"/>
  <c r="G550" i="1"/>
  <c r="H550" i="1"/>
  <c r="I550" i="1"/>
  <c r="J550" i="1"/>
  <c r="A551" i="1"/>
  <c r="B551" i="1"/>
  <c r="C551" i="1"/>
  <c r="D551" i="1"/>
  <c r="G551" i="1"/>
  <c r="H551" i="1"/>
  <c r="I551" i="1"/>
  <c r="J551" i="1"/>
  <c r="A552" i="1"/>
  <c r="B552" i="1"/>
  <c r="C552" i="1"/>
  <c r="D552" i="1"/>
  <c r="G552" i="1"/>
  <c r="H552" i="1"/>
  <c r="I552" i="1"/>
  <c r="J552" i="1"/>
  <c r="A553" i="1"/>
  <c r="B553" i="1"/>
  <c r="C553" i="1"/>
  <c r="D553" i="1"/>
  <c r="G553" i="1"/>
  <c r="H553" i="1"/>
  <c r="I553" i="1"/>
  <c r="J553" i="1"/>
  <c r="A554" i="1"/>
  <c r="B554" i="1"/>
  <c r="C554" i="1"/>
  <c r="D554" i="1"/>
  <c r="G554" i="1"/>
  <c r="H554" i="1"/>
  <c r="I554" i="1"/>
  <c r="J554" i="1"/>
  <c r="A555" i="1"/>
  <c r="B555" i="1"/>
  <c r="C555" i="1"/>
  <c r="D555" i="1"/>
  <c r="G555" i="1"/>
  <c r="H555" i="1"/>
  <c r="I555" i="1"/>
  <c r="J555" i="1"/>
  <c r="A556" i="1"/>
  <c r="B556" i="1"/>
  <c r="C556" i="1"/>
  <c r="D556" i="1"/>
  <c r="G556" i="1"/>
  <c r="H556" i="1"/>
  <c r="I556" i="1"/>
  <c r="J556" i="1"/>
  <c r="A557" i="1"/>
  <c r="B557" i="1"/>
  <c r="C557" i="1"/>
  <c r="D557" i="1"/>
  <c r="G557" i="1"/>
  <c r="H557" i="1"/>
  <c r="I557" i="1"/>
  <c r="J557" i="1"/>
  <c r="A558" i="1"/>
  <c r="B558" i="1"/>
  <c r="C558" i="1"/>
  <c r="D558" i="1"/>
  <c r="G558" i="1"/>
  <c r="H558" i="1"/>
  <c r="I558" i="1"/>
  <c r="J558" i="1"/>
  <c r="A559" i="1"/>
  <c r="B559" i="1"/>
  <c r="C559" i="1"/>
  <c r="D559" i="1"/>
  <c r="G559" i="1"/>
  <c r="H559" i="1"/>
  <c r="I559" i="1"/>
  <c r="J559" i="1"/>
  <c r="A560" i="1"/>
  <c r="B560" i="1"/>
  <c r="C560" i="1"/>
  <c r="D560" i="1"/>
  <c r="G560" i="1"/>
  <c r="H560" i="1"/>
  <c r="I560" i="1"/>
  <c r="J560" i="1"/>
  <c r="A561" i="1"/>
  <c r="B561" i="1"/>
  <c r="C561" i="1"/>
  <c r="D561" i="1"/>
  <c r="G561" i="1"/>
  <c r="H561" i="1"/>
  <c r="I561" i="1"/>
  <c r="J561" i="1"/>
  <c r="A562" i="1"/>
  <c r="B562" i="1"/>
  <c r="C562" i="1"/>
  <c r="D562" i="1"/>
  <c r="G562" i="1"/>
  <c r="H562" i="1"/>
  <c r="I562" i="1"/>
  <c r="J562" i="1"/>
  <c r="A563" i="1"/>
  <c r="B563" i="1"/>
  <c r="C563" i="1"/>
  <c r="D563" i="1"/>
  <c r="G563" i="1"/>
  <c r="H563" i="1"/>
  <c r="I563" i="1"/>
  <c r="J563" i="1"/>
  <c r="A564" i="1"/>
  <c r="B564" i="1"/>
  <c r="C564" i="1"/>
  <c r="D564" i="1"/>
  <c r="G564" i="1"/>
  <c r="H564" i="1"/>
  <c r="I564" i="1"/>
  <c r="J564" i="1"/>
  <c r="A565" i="1"/>
  <c r="B565" i="1"/>
  <c r="C565" i="1"/>
  <c r="D565" i="1"/>
  <c r="G565" i="1"/>
  <c r="H565" i="1"/>
  <c r="I565" i="1"/>
  <c r="J565" i="1"/>
  <c r="A566" i="1"/>
  <c r="B566" i="1"/>
  <c r="C566" i="1"/>
  <c r="D566" i="1"/>
  <c r="G566" i="1"/>
  <c r="H566" i="1"/>
  <c r="I566" i="1"/>
  <c r="J566" i="1"/>
  <c r="A567" i="1"/>
  <c r="B567" i="1"/>
  <c r="C567" i="1"/>
  <c r="D567" i="1"/>
  <c r="G567" i="1"/>
  <c r="H567" i="1"/>
  <c r="I567" i="1"/>
  <c r="J567" i="1"/>
  <c r="A568" i="1"/>
  <c r="B568" i="1"/>
  <c r="C568" i="1"/>
  <c r="D568" i="1"/>
  <c r="G568" i="1"/>
  <c r="H568" i="1"/>
  <c r="I568" i="1"/>
  <c r="J568" i="1"/>
  <c r="A569" i="1"/>
  <c r="B569" i="1"/>
  <c r="C569" i="1"/>
  <c r="D569" i="1"/>
  <c r="G569" i="1"/>
  <c r="H569" i="1"/>
  <c r="I569" i="1"/>
  <c r="J569" i="1"/>
  <c r="A570" i="1"/>
  <c r="B570" i="1"/>
  <c r="C570" i="1"/>
  <c r="D570" i="1"/>
  <c r="G570" i="1"/>
  <c r="H570" i="1"/>
  <c r="I570" i="1"/>
  <c r="J570" i="1"/>
  <c r="A571" i="1"/>
  <c r="B571" i="1"/>
  <c r="C571" i="1"/>
  <c r="D571" i="1"/>
  <c r="G571" i="1"/>
  <c r="H571" i="1"/>
  <c r="I571" i="1"/>
  <c r="J571" i="1"/>
  <c r="A572" i="1"/>
  <c r="B572" i="1"/>
  <c r="C572" i="1"/>
  <c r="D572" i="1"/>
  <c r="G572" i="1"/>
  <c r="H572" i="1"/>
  <c r="I572" i="1"/>
  <c r="J572" i="1"/>
  <c r="A573" i="1"/>
  <c r="B573" i="1"/>
  <c r="C573" i="1"/>
  <c r="D573" i="1"/>
  <c r="G573" i="1"/>
  <c r="H573" i="1"/>
  <c r="I573" i="1"/>
  <c r="J573" i="1"/>
  <c r="A574" i="1"/>
  <c r="B574" i="1"/>
  <c r="C574" i="1"/>
  <c r="D574" i="1"/>
  <c r="G574" i="1"/>
  <c r="H574" i="1"/>
  <c r="I574" i="1"/>
  <c r="J574" i="1"/>
  <c r="A575" i="1"/>
  <c r="B575" i="1"/>
  <c r="C575" i="1"/>
  <c r="D575" i="1"/>
  <c r="G575" i="1"/>
  <c r="H575" i="1"/>
  <c r="I575" i="1"/>
  <c r="J575" i="1"/>
  <c r="A576" i="1"/>
  <c r="B576" i="1"/>
  <c r="C576" i="1"/>
  <c r="D576" i="1"/>
  <c r="G576" i="1"/>
  <c r="H576" i="1"/>
  <c r="I576" i="1"/>
  <c r="J576" i="1"/>
  <c r="A577" i="1"/>
  <c r="B577" i="1"/>
  <c r="C577" i="1"/>
  <c r="D577" i="1"/>
  <c r="G577" i="1"/>
  <c r="H577" i="1"/>
  <c r="I577" i="1"/>
  <c r="J577" i="1"/>
  <c r="A578" i="1"/>
  <c r="B578" i="1"/>
  <c r="C578" i="1"/>
  <c r="D578" i="1"/>
  <c r="G578" i="1"/>
  <c r="H578" i="1"/>
  <c r="I578" i="1"/>
  <c r="J578" i="1"/>
  <c r="A579" i="1"/>
  <c r="B579" i="1"/>
  <c r="C579" i="1"/>
  <c r="D579" i="1"/>
  <c r="G579" i="1"/>
  <c r="H579" i="1"/>
  <c r="I579" i="1"/>
  <c r="J579" i="1"/>
  <c r="A580" i="1"/>
  <c r="B580" i="1"/>
  <c r="C580" i="1"/>
  <c r="D580" i="1"/>
  <c r="G580" i="1"/>
  <c r="H580" i="1"/>
  <c r="I580" i="1"/>
  <c r="J580" i="1"/>
  <c r="A581" i="1"/>
  <c r="B581" i="1"/>
  <c r="C581" i="1"/>
  <c r="D581" i="1"/>
  <c r="G581" i="1"/>
  <c r="H581" i="1"/>
  <c r="I581" i="1"/>
  <c r="J581" i="1"/>
  <c r="A582" i="1"/>
  <c r="B582" i="1"/>
  <c r="C582" i="1"/>
  <c r="D582" i="1"/>
  <c r="G582" i="1"/>
  <c r="H582" i="1"/>
  <c r="I582" i="1"/>
  <c r="J582" i="1"/>
  <c r="A583" i="1"/>
  <c r="B583" i="1"/>
  <c r="C583" i="1"/>
  <c r="D583" i="1"/>
  <c r="G583" i="1"/>
  <c r="H583" i="1"/>
  <c r="I583" i="1"/>
  <c r="J583" i="1"/>
  <c r="A584" i="1"/>
  <c r="B584" i="1"/>
  <c r="C584" i="1"/>
  <c r="D584" i="1"/>
  <c r="G584" i="1"/>
  <c r="H584" i="1"/>
  <c r="I584" i="1"/>
  <c r="J584" i="1"/>
  <c r="A585" i="1"/>
  <c r="B585" i="1"/>
  <c r="C585" i="1"/>
  <c r="D585" i="1"/>
  <c r="G585" i="1"/>
  <c r="H585" i="1"/>
  <c r="I585" i="1"/>
  <c r="J585" i="1"/>
  <c r="A586" i="1"/>
  <c r="B586" i="1"/>
  <c r="C586" i="1"/>
  <c r="D586" i="1"/>
  <c r="G586" i="1"/>
  <c r="H586" i="1"/>
  <c r="I586" i="1"/>
  <c r="J586" i="1"/>
  <c r="A587" i="1"/>
  <c r="B587" i="1"/>
  <c r="C587" i="1"/>
  <c r="D587" i="1"/>
  <c r="G587" i="1"/>
  <c r="H587" i="1"/>
  <c r="I587" i="1"/>
  <c r="J587" i="1"/>
  <c r="A588" i="1"/>
  <c r="B588" i="1"/>
  <c r="C588" i="1"/>
  <c r="D588" i="1"/>
  <c r="G588" i="1"/>
  <c r="H588" i="1"/>
  <c r="I588" i="1"/>
  <c r="J588" i="1"/>
  <c r="A589" i="1"/>
  <c r="B589" i="1"/>
  <c r="C589" i="1"/>
  <c r="D589" i="1"/>
  <c r="G589" i="1"/>
  <c r="H589" i="1"/>
  <c r="I589" i="1"/>
  <c r="J589" i="1"/>
  <c r="A590" i="1"/>
  <c r="B590" i="1"/>
  <c r="C590" i="1"/>
  <c r="D590" i="1"/>
  <c r="G590" i="1"/>
  <c r="H590" i="1"/>
  <c r="I590" i="1"/>
  <c r="J590" i="1"/>
  <c r="A591" i="1"/>
  <c r="B591" i="1"/>
  <c r="C591" i="1"/>
  <c r="D591" i="1"/>
  <c r="G591" i="1"/>
  <c r="H591" i="1"/>
  <c r="I591" i="1"/>
  <c r="J591" i="1"/>
  <c r="A592" i="1"/>
  <c r="B592" i="1"/>
  <c r="C592" i="1"/>
  <c r="D592" i="1"/>
  <c r="G592" i="1"/>
  <c r="H592" i="1"/>
  <c r="I592" i="1"/>
  <c r="J592" i="1"/>
  <c r="A593" i="1"/>
  <c r="B593" i="1"/>
  <c r="C593" i="1"/>
  <c r="D593" i="1"/>
  <c r="G593" i="1"/>
  <c r="H593" i="1"/>
  <c r="I593" i="1"/>
  <c r="J593" i="1"/>
  <c r="A594" i="1"/>
  <c r="B594" i="1"/>
  <c r="C594" i="1"/>
  <c r="D594" i="1"/>
  <c r="G594" i="1"/>
  <c r="H594" i="1"/>
  <c r="I594" i="1"/>
  <c r="J594" i="1"/>
  <c r="A595" i="1"/>
  <c r="B595" i="1"/>
  <c r="C595" i="1"/>
  <c r="D595" i="1"/>
  <c r="G595" i="1"/>
  <c r="H595" i="1"/>
  <c r="I595" i="1"/>
  <c r="J595" i="1"/>
  <c r="A596" i="1"/>
  <c r="B596" i="1"/>
  <c r="C596" i="1"/>
  <c r="D596" i="1"/>
  <c r="G596" i="1"/>
  <c r="H596" i="1"/>
  <c r="I596" i="1"/>
  <c r="J596" i="1"/>
  <c r="A597" i="1"/>
  <c r="B597" i="1"/>
  <c r="C597" i="1"/>
  <c r="D597" i="1"/>
  <c r="G597" i="1"/>
  <c r="H597" i="1"/>
  <c r="I597" i="1"/>
  <c r="J597" i="1"/>
  <c r="A598" i="1"/>
  <c r="B598" i="1"/>
  <c r="C598" i="1"/>
  <c r="D598" i="1"/>
  <c r="G598" i="1"/>
  <c r="H598" i="1"/>
  <c r="I598" i="1"/>
  <c r="J598" i="1"/>
  <c r="A599" i="1"/>
  <c r="B599" i="1"/>
  <c r="C599" i="1"/>
  <c r="D599" i="1"/>
  <c r="G599" i="1"/>
  <c r="H599" i="1"/>
  <c r="I599" i="1"/>
  <c r="J599" i="1"/>
  <c r="A600" i="1"/>
  <c r="B600" i="1"/>
  <c r="C600" i="1"/>
  <c r="D600" i="1"/>
  <c r="G600" i="1"/>
  <c r="H600" i="1"/>
  <c r="I600" i="1"/>
  <c r="J600" i="1"/>
  <c r="A601" i="1"/>
  <c r="B601" i="1"/>
  <c r="C601" i="1"/>
  <c r="D601" i="1"/>
  <c r="G601" i="1"/>
  <c r="H601" i="1"/>
  <c r="I601" i="1"/>
  <c r="J601" i="1"/>
  <c r="A602" i="1"/>
  <c r="B602" i="1"/>
  <c r="C602" i="1"/>
  <c r="D602" i="1"/>
  <c r="G602" i="1"/>
  <c r="H602" i="1"/>
  <c r="I602" i="1"/>
  <c r="J602" i="1"/>
  <c r="A603" i="1"/>
  <c r="B603" i="1"/>
  <c r="C603" i="1"/>
  <c r="D603" i="1"/>
  <c r="G603" i="1"/>
  <c r="H603" i="1"/>
  <c r="I603" i="1"/>
  <c r="J603" i="1"/>
  <c r="A604" i="1"/>
  <c r="B604" i="1"/>
  <c r="C604" i="1"/>
  <c r="D604" i="1"/>
  <c r="G604" i="1"/>
  <c r="H604" i="1"/>
  <c r="I604" i="1"/>
  <c r="J604" i="1"/>
  <c r="A605" i="1"/>
  <c r="B605" i="1"/>
  <c r="C605" i="1"/>
  <c r="D605" i="1"/>
  <c r="G605" i="1"/>
  <c r="H605" i="1"/>
  <c r="I605" i="1"/>
  <c r="J605" i="1"/>
  <c r="A606" i="1"/>
  <c r="B606" i="1"/>
  <c r="C606" i="1"/>
  <c r="D606" i="1"/>
  <c r="G606" i="1"/>
  <c r="H606" i="1"/>
  <c r="I606" i="1"/>
  <c r="J606" i="1"/>
  <c r="A607" i="1"/>
  <c r="B607" i="1"/>
  <c r="C607" i="1"/>
  <c r="D607" i="1"/>
  <c r="G607" i="1"/>
  <c r="H607" i="1"/>
  <c r="I607" i="1"/>
  <c r="J607" i="1"/>
  <c r="A608" i="1"/>
  <c r="B608" i="1"/>
  <c r="C608" i="1"/>
  <c r="D608" i="1"/>
  <c r="G608" i="1"/>
  <c r="H608" i="1"/>
  <c r="I608" i="1"/>
  <c r="J608" i="1"/>
  <c r="A609" i="1"/>
  <c r="B609" i="1"/>
  <c r="C609" i="1"/>
  <c r="D609" i="1"/>
  <c r="G609" i="1"/>
  <c r="H609" i="1"/>
  <c r="I609" i="1"/>
  <c r="J609" i="1"/>
  <c r="A610" i="1"/>
  <c r="B610" i="1"/>
  <c r="C610" i="1"/>
  <c r="D610" i="1"/>
  <c r="G610" i="1"/>
  <c r="H610" i="1"/>
  <c r="I610" i="1"/>
  <c r="J610" i="1"/>
  <c r="A611" i="1"/>
  <c r="B611" i="1"/>
  <c r="C611" i="1"/>
  <c r="D611" i="1"/>
  <c r="G611" i="1"/>
  <c r="H611" i="1"/>
  <c r="I611" i="1"/>
  <c r="J611" i="1"/>
  <c r="A612" i="1"/>
  <c r="B612" i="1"/>
  <c r="C612" i="1"/>
  <c r="D612" i="1"/>
  <c r="G612" i="1"/>
  <c r="H612" i="1"/>
  <c r="I612" i="1"/>
  <c r="J612" i="1"/>
  <c r="A613" i="1"/>
  <c r="B613" i="1"/>
  <c r="C613" i="1"/>
  <c r="D613" i="1"/>
  <c r="G613" i="1"/>
  <c r="H613" i="1"/>
  <c r="I613" i="1"/>
  <c r="J613" i="1"/>
  <c r="A614" i="1"/>
  <c r="B614" i="1"/>
  <c r="C614" i="1"/>
  <c r="D614" i="1"/>
  <c r="G614" i="1"/>
  <c r="H614" i="1"/>
  <c r="I614" i="1"/>
  <c r="J614" i="1"/>
  <c r="A615" i="1"/>
  <c r="B615" i="1"/>
  <c r="C615" i="1"/>
  <c r="D615" i="1"/>
  <c r="G615" i="1"/>
  <c r="H615" i="1"/>
  <c r="I615" i="1"/>
  <c r="J615" i="1"/>
  <c r="A616" i="1"/>
  <c r="B616" i="1"/>
  <c r="C616" i="1"/>
  <c r="D616" i="1"/>
  <c r="G616" i="1"/>
  <c r="H616" i="1"/>
  <c r="I616" i="1"/>
  <c r="J616" i="1"/>
  <c r="A617" i="1"/>
  <c r="B617" i="1"/>
  <c r="C617" i="1"/>
  <c r="D617" i="1"/>
  <c r="G617" i="1"/>
  <c r="H617" i="1"/>
  <c r="I617" i="1"/>
  <c r="J617" i="1"/>
  <c r="A618" i="1"/>
  <c r="B618" i="1"/>
  <c r="C618" i="1"/>
  <c r="D618" i="1"/>
  <c r="G618" i="1"/>
  <c r="H618" i="1"/>
  <c r="I618" i="1"/>
  <c r="J618" i="1"/>
  <c r="A619" i="1"/>
  <c r="B619" i="1"/>
  <c r="C619" i="1"/>
  <c r="D619" i="1"/>
  <c r="G619" i="1"/>
  <c r="H619" i="1"/>
  <c r="I619" i="1"/>
  <c r="J619" i="1"/>
  <c r="A620" i="1"/>
  <c r="B620" i="1"/>
  <c r="C620" i="1"/>
  <c r="D620" i="1"/>
  <c r="G620" i="1"/>
  <c r="H620" i="1"/>
  <c r="I620" i="1"/>
  <c r="J620" i="1"/>
  <c r="A621" i="1"/>
  <c r="B621" i="1"/>
  <c r="C621" i="1"/>
  <c r="D621" i="1"/>
  <c r="G621" i="1"/>
  <c r="H621" i="1"/>
  <c r="I621" i="1"/>
  <c r="J621" i="1"/>
  <c r="A622" i="1"/>
  <c r="B622" i="1"/>
  <c r="C622" i="1"/>
  <c r="D622" i="1"/>
  <c r="G622" i="1"/>
  <c r="H622" i="1"/>
  <c r="I622" i="1"/>
  <c r="J622" i="1"/>
  <c r="A623" i="1"/>
  <c r="B623" i="1"/>
  <c r="C623" i="1"/>
  <c r="D623" i="1"/>
  <c r="G623" i="1"/>
  <c r="H623" i="1"/>
  <c r="I623" i="1"/>
  <c r="J623" i="1"/>
  <c r="A624" i="1"/>
  <c r="B624" i="1"/>
  <c r="C624" i="1"/>
  <c r="D624" i="1"/>
  <c r="G624" i="1"/>
  <c r="H624" i="1"/>
  <c r="I624" i="1"/>
  <c r="J624" i="1"/>
  <c r="A625" i="1"/>
  <c r="B625" i="1"/>
  <c r="C625" i="1"/>
  <c r="D625" i="1"/>
  <c r="G625" i="1"/>
  <c r="H625" i="1"/>
  <c r="I625" i="1"/>
  <c r="J625" i="1"/>
  <c r="A626" i="1"/>
  <c r="B626" i="1"/>
  <c r="C626" i="1"/>
  <c r="D626" i="1"/>
  <c r="G626" i="1"/>
  <c r="H626" i="1"/>
  <c r="I626" i="1"/>
  <c r="J626" i="1"/>
  <c r="A627" i="1"/>
  <c r="B627" i="1"/>
  <c r="C627" i="1"/>
  <c r="D627" i="1"/>
  <c r="G627" i="1"/>
  <c r="H627" i="1"/>
  <c r="I627" i="1"/>
  <c r="J627" i="1"/>
  <c r="A628" i="1"/>
  <c r="B628" i="1"/>
  <c r="C628" i="1"/>
  <c r="D628" i="1"/>
  <c r="G628" i="1"/>
  <c r="H628" i="1"/>
  <c r="I628" i="1"/>
  <c r="J628" i="1"/>
  <c r="A629" i="1"/>
  <c r="B629" i="1"/>
  <c r="C629" i="1"/>
  <c r="D629" i="1"/>
  <c r="G629" i="1"/>
  <c r="H629" i="1"/>
  <c r="I629" i="1"/>
  <c r="J629" i="1"/>
  <c r="A630" i="1"/>
  <c r="B630" i="1"/>
  <c r="C630" i="1"/>
  <c r="D630" i="1"/>
  <c r="G630" i="1"/>
  <c r="H630" i="1"/>
  <c r="I630" i="1"/>
  <c r="J630" i="1"/>
  <c r="A631" i="1"/>
  <c r="B631" i="1"/>
  <c r="C631" i="1"/>
  <c r="D631" i="1"/>
  <c r="G631" i="1"/>
  <c r="H631" i="1"/>
  <c r="I631" i="1"/>
  <c r="J631" i="1"/>
  <c r="A632" i="1"/>
  <c r="B632" i="1"/>
  <c r="C632" i="1"/>
  <c r="D632" i="1"/>
  <c r="G632" i="1"/>
  <c r="H632" i="1"/>
  <c r="I632" i="1"/>
  <c r="J632" i="1"/>
  <c r="A633" i="1"/>
  <c r="B633" i="1"/>
  <c r="C633" i="1"/>
  <c r="D633" i="1"/>
  <c r="G633" i="1"/>
  <c r="H633" i="1"/>
  <c r="I633" i="1"/>
  <c r="J633" i="1"/>
  <c r="A634" i="1"/>
  <c r="B634" i="1"/>
  <c r="C634" i="1"/>
  <c r="D634" i="1"/>
  <c r="G634" i="1"/>
  <c r="H634" i="1"/>
  <c r="I634" i="1"/>
  <c r="J634" i="1"/>
  <c r="A635" i="1"/>
  <c r="B635" i="1"/>
  <c r="C635" i="1"/>
  <c r="D635" i="1"/>
  <c r="G635" i="1"/>
  <c r="H635" i="1"/>
  <c r="I635" i="1"/>
  <c r="J635" i="1"/>
  <c r="A636" i="1"/>
  <c r="B636" i="1"/>
  <c r="C636" i="1"/>
  <c r="D636" i="1"/>
  <c r="G636" i="1"/>
  <c r="H636" i="1"/>
  <c r="I636" i="1"/>
  <c r="J636" i="1"/>
  <c r="A637" i="1"/>
  <c r="B637" i="1"/>
  <c r="C637" i="1"/>
  <c r="D637" i="1"/>
  <c r="G637" i="1"/>
  <c r="H637" i="1"/>
  <c r="I637" i="1"/>
  <c r="J637" i="1"/>
  <c r="A638" i="1"/>
  <c r="B638" i="1"/>
  <c r="C638" i="1"/>
  <c r="D638" i="1"/>
  <c r="G638" i="1"/>
  <c r="H638" i="1"/>
  <c r="I638" i="1"/>
  <c r="J638" i="1"/>
  <c r="A639" i="1"/>
  <c r="B639" i="1"/>
  <c r="C639" i="1"/>
  <c r="D639" i="1"/>
  <c r="G639" i="1"/>
  <c r="H639" i="1"/>
  <c r="I639" i="1"/>
  <c r="J639" i="1"/>
  <c r="A640" i="1"/>
  <c r="B640" i="1"/>
  <c r="C640" i="1"/>
  <c r="D640" i="1"/>
  <c r="G640" i="1"/>
  <c r="H640" i="1"/>
  <c r="I640" i="1"/>
  <c r="J640" i="1"/>
  <c r="A641" i="1"/>
  <c r="B641" i="1"/>
  <c r="C641" i="1"/>
  <c r="D641" i="1"/>
  <c r="G641" i="1"/>
  <c r="H641" i="1"/>
  <c r="I641" i="1"/>
  <c r="J641" i="1"/>
  <c r="A642" i="1"/>
  <c r="B642" i="1"/>
  <c r="C642" i="1"/>
  <c r="D642" i="1"/>
  <c r="G642" i="1"/>
  <c r="H642" i="1"/>
  <c r="I642" i="1"/>
  <c r="J642" i="1"/>
  <c r="A643" i="1"/>
  <c r="B643" i="1"/>
  <c r="C643" i="1"/>
  <c r="D643" i="1"/>
  <c r="G643" i="1"/>
  <c r="H643" i="1"/>
  <c r="I643" i="1"/>
  <c r="J643" i="1"/>
  <c r="A644" i="1"/>
  <c r="B644" i="1"/>
  <c r="C644" i="1"/>
  <c r="D644" i="1"/>
  <c r="G644" i="1"/>
  <c r="H644" i="1"/>
  <c r="I644" i="1"/>
  <c r="J644" i="1"/>
  <c r="A645" i="1"/>
  <c r="B645" i="1"/>
  <c r="C645" i="1"/>
  <c r="D645" i="1"/>
  <c r="G645" i="1"/>
  <c r="H645" i="1"/>
  <c r="I645" i="1"/>
  <c r="J645" i="1"/>
  <c r="A646" i="1"/>
  <c r="B646" i="1"/>
  <c r="C646" i="1"/>
  <c r="D646" i="1"/>
  <c r="G646" i="1"/>
  <c r="H646" i="1"/>
  <c r="I646" i="1"/>
  <c r="J646" i="1"/>
  <c r="A647" i="1"/>
  <c r="B647" i="1"/>
  <c r="C647" i="1"/>
  <c r="D647" i="1"/>
  <c r="G647" i="1"/>
  <c r="H647" i="1"/>
  <c r="I647" i="1"/>
  <c r="J647" i="1"/>
  <c r="A648" i="1"/>
  <c r="B648" i="1"/>
  <c r="C648" i="1"/>
  <c r="D648" i="1"/>
  <c r="G648" i="1"/>
  <c r="H648" i="1"/>
  <c r="I648" i="1"/>
  <c r="J648" i="1"/>
  <c r="A649" i="1"/>
  <c r="B649" i="1"/>
  <c r="C649" i="1"/>
  <c r="D649" i="1"/>
  <c r="G649" i="1"/>
  <c r="H649" i="1"/>
  <c r="I649" i="1"/>
  <c r="J649" i="1"/>
  <c r="A650" i="1"/>
  <c r="B650" i="1"/>
  <c r="C650" i="1"/>
  <c r="D650" i="1"/>
  <c r="G650" i="1"/>
  <c r="H650" i="1"/>
  <c r="I650" i="1"/>
  <c r="J650" i="1"/>
  <c r="A651" i="1"/>
  <c r="B651" i="1"/>
  <c r="C651" i="1"/>
  <c r="D651" i="1"/>
  <c r="G651" i="1"/>
  <c r="H651" i="1"/>
  <c r="I651" i="1"/>
  <c r="J651" i="1"/>
  <c r="A652" i="1"/>
  <c r="B652" i="1"/>
  <c r="C652" i="1"/>
  <c r="D652" i="1"/>
  <c r="G652" i="1"/>
  <c r="H652" i="1"/>
  <c r="I652" i="1"/>
  <c r="J652" i="1"/>
  <c r="A653" i="1"/>
  <c r="B653" i="1"/>
  <c r="C653" i="1"/>
  <c r="D653" i="1"/>
  <c r="G653" i="1"/>
  <c r="H653" i="1"/>
  <c r="I653" i="1"/>
  <c r="J653" i="1"/>
  <c r="A654" i="1"/>
  <c r="B654" i="1"/>
  <c r="C654" i="1"/>
  <c r="D654" i="1"/>
  <c r="G654" i="1"/>
  <c r="H654" i="1"/>
  <c r="I654" i="1"/>
  <c r="J654" i="1"/>
  <c r="A655" i="1"/>
  <c r="B655" i="1"/>
  <c r="C655" i="1"/>
  <c r="D655" i="1"/>
  <c r="G655" i="1"/>
  <c r="H655" i="1"/>
  <c r="I655" i="1"/>
  <c r="J655" i="1"/>
  <c r="A656" i="1"/>
  <c r="B656" i="1"/>
  <c r="C656" i="1"/>
  <c r="D656" i="1"/>
  <c r="G656" i="1"/>
  <c r="H656" i="1"/>
  <c r="I656" i="1"/>
  <c r="J656" i="1"/>
  <c r="A657" i="1"/>
  <c r="B657" i="1"/>
  <c r="C657" i="1"/>
  <c r="D657" i="1"/>
  <c r="G657" i="1"/>
  <c r="H657" i="1"/>
  <c r="I657" i="1"/>
  <c r="J657" i="1"/>
  <c r="A658" i="1"/>
  <c r="B658" i="1"/>
  <c r="C658" i="1"/>
  <c r="D658" i="1"/>
  <c r="G658" i="1"/>
  <c r="H658" i="1"/>
  <c r="I658" i="1"/>
  <c r="J658" i="1"/>
  <c r="A659" i="1"/>
  <c r="B659" i="1"/>
  <c r="C659" i="1"/>
  <c r="D659" i="1"/>
  <c r="G659" i="1"/>
  <c r="H659" i="1"/>
  <c r="I659" i="1"/>
  <c r="J659" i="1"/>
  <c r="A660" i="1"/>
  <c r="B660" i="1"/>
  <c r="C660" i="1"/>
  <c r="D660" i="1"/>
  <c r="G660" i="1"/>
  <c r="H660" i="1"/>
  <c r="I660" i="1"/>
  <c r="J660" i="1"/>
  <c r="A661" i="1"/>
  <c r="B661" i="1"/>
  <c r="C661" i="1"/>
  <c r="D661" i="1"/>
  <c r="G661" i="1"/>
  <c r="H661" i="1"/>
  <c r="I661" i="1"/>
  <c r="J661" i="1"/>
  <c r="A662" i="1"/>
  <c r="B662" i="1"/>
  <c r="C662" i="1"/>
  <c r="D662" i="1"/>
  <c r="G662" i="1"/>
  <c r="H662" i="1"/>
  <c r="I662" i="1"/>
  <c r="J662" i="1"/>
  <c r="A663" i="1"/>
  <c r="B663" i="1"/>
  <c r="C663" i="1"/>
  <c r="D663" i="1"/>
  <c r="G663" i="1"/>
  <c r="H663" i="1"/>
  <c r="I663" i="1"/>
  <c r="J663" i="1"/>
  <c r="A664" i="1"/>
  <c r="B664" i="1"/>
  <c r="C664" i="1"/>
  <c r="D664" i="1"/>
  <c r="G664" i="1"/>
  <c r="H664" i="1"/>
  <c r="I664" i="1"/>
  <c r="J664" i="1"/>
  <c r="A665" i="1"/>
  <c r="B665" i="1"/>
  <c r="C665" i="1"/>
  <c r="D665" i="1"/>
  <c r="G665" i="1"/>
  <c r="H665" i="1"/>
  <c r="I665" i="1"/>
  <c r="J665" i="1"/>
  <c r="A666" i="1"/>
  <c r="B666" i="1"/>
  <c r="C666" i="1"/>
  <c r="D666" i="1"/>
  <c r="G666" i="1"/>
  <c r="H666" i="1"/>
  <c r="I666" i="1"/>
  <c r="J666" i="1"/>
  <c r="A667" i="1"/>
  <c r="B667" i="1"/>
  <c r="C667" i="1"/>
  <c r="D667" i="1"/>
  <c r="G667" i="1"/>
  <c r="H667" i="1"/>
  <c r="I667" i="1"/>
  <c r="J667" i="1"/>
  <c r="A668" i="1"/>
  <c r="B668" i="1"/>
  <c r="C668" i="1"/>
  <c r="D668" i="1"/>
  <c r="G668" i="1"/>
  <c r="H668" i="1"/>
  <c r="I668" i="1"/>
  <c r="J668" i="1"/>
  <c r="A669" i="1"/>
  <c r="B669" i="1"/>
  <c r="C669" i="1"/>
  <c r="D669" i="1"/>
  <c r="G669" i="1"/>
  <c r="H669" i="1"/>
  <c r="I669" i="1"/>
  <c r="J669" i="1"/>
  <c r="A670" i="1"/>
  <c r="B670" i="1"/>
  <c r="C670" i="1"/>
  <c r="D670" i="1"/>
  <c r="G670" i="1"/>
  <c r="H670" i="1"/>
  <c r="I670" i="1"/>
  <c r="J670" i="1"/>
  <c r="A671" i="1"/>
  <c r="B671" i="1"/>
  <c r="C671" i="1"/>
  <c r="D671" i="1"/>
  <c r="G671" i="1"/>
  <c r="H671" i="1"/>
  <c r="I671" i="1"/>
  <c r="J671" i="1"/>
  <c r="A672" i="1"/>
  <c r="B672" i="1"/>
  <c r="C672" i="1"/>
  <c r="D672" i="1"/>
  <c r="G672" i="1"/>
  <c r="H672" i="1"/>
  <c r="I672" i="1"/>
  <c r="J672" i="1"/>
  <c r="A673" i="1"/>
  <c r="B673" i="1"/>
  <c r="C673" i="1"/>
  <c r="D673" i="1"/>
  <c r="G673" i="1"/>
  <c r="H673" i="1"/>
  <c r="I673" i="1"/>
  <c r="J673" i="1"/>
  <c r="A674" i="1"/>
  <c r="B674" i="1"/>
  <c r="C674" i="1"/>
  <c r="D674" i="1"/>
  <c r="G674" i="1"/>
  <c r="H674" i="1"/>
  <c r="I674" i="1"/>
  <c r="J674" i="1"/>
  <c r="A675" i="1"/>
  <c r="B675" i="1"/>
  <c r="C675" i="1"/>
  <c r="D675" i="1"/>
  <c r="G675" i="1"/>
  <c r="H675" i="1"/>
  <c r="I675" i="1"/>
  <c r="J675" i="1"/>
  <c r="A676" i="1"/>
  <c r="B676" i="1"/>
  <c r="C676" i="1"/>
  <c r="D676" i="1"/>
  <c r="G676" i="1"/>
  <c r="H676" i="1"/>
  <c r="I676" i="1"/>
  <c r="J676" i="1"/>
  <c r="A677" i="1"/>
  <c r="B677" i="1"/>
  <c r="C677" i="1"/>
  <c r="D677" i="1"/>
  <c r="G677" i="1"/>
  <c r="H677" i="1"/>
  <c r="I677" i="1"/>
  <c r="J677" i="1"/>
  <c r="A678" i="1"/>
  <c r="B678" i="1"/>
  <c r="C678" i="1"/>
  <c r="D678" i="1"/>
  <c r="G678" i="1"/>
  <c r="H678" i="1"/>
  <c r="I678" i="1"/>
  <c r="J678" i="1"/>
  <c r="A679" i="1"/>
  <c r="B679" i="1"/>
  <c r="C679" i="1"/>
  <c r="D679" i="1"/>
  <c r="G679" i="1"/>
  <c r="H679" i="1"/>
  <c r="I679" i="1"/>
  <c r="J679" i="1"/>
  <c r="A680" i="1"/>
  <c r="B680" i="1"/>
  <c r="C680" i="1"/>
  <c r="D680" i="1"/>
  <c r="G680" i="1"/>
  <c r="H680" i="1"/>
  <c r="I680" i="1"/>
  <c r="J680" i="1"/>
  <c r="A681" i="1"/>
  <c r="B681" i="1"/>
  <c r="C681" i="1"/>
  <c r="D681" i="1"/>
  <c r="G681" i="1"/>
  <c r="H681" i="1"/>
  <c r="I681" i="1"/>
  <c r="J681" i="1"/>
  <c r="A682" i="1"/>
  <c r="B682" i="1"/>
  <c r="C682" i="1"/>
  <c r="D682" i="1"/>
  <c r="G682" i="1"/>
  <c r="H682" i="1"/>
  <c r="I682" i="1"/>
  <c r="J682" i="1"/>
  <c r="A683" i="1"/>
  <c r="B683" i="1"/>
  <c r="C683" i="1"/>
  <c r="D683" i="1"/>
  <c r="G683" i="1"/>
  <c r="H683" i="1"/>
  <c r="I683" i="1"/>
  <c r="J683" i="1"/>
  <c r="A684" i="1"/>
  <c r="B684" i="1"/>
  <c r="C684" i="1"/>
  <c r="D684" i="1"/>
  <c r="G684" i="1"/>
  <c r="H684" i="1"/>
  <c r="I684" i="1"/>
  <c r="J684" i="1"/>
  <c r="A685" i="1"/>
  <c r="B685" i="1"/>
  <c r="C685" i="1"/>
  <c r="D685" i="1"/>
  <c r="G685" i="1"/>
  <c r="H685" i="1"/>
  <c r="I685" i="1"/>
  <c r="J685" i="1"/>
  <c r="A686" i="1"/>
  <c r="B686" i="1"/>
  <c r="C686" i="1"/>
  <c r="D686" i="1"/>
  <c r="G686" i="1"/>
  <c r="H686" i="1"/>
  <c r="I686" i="1"/>
  <c r="J686" i="1"/>
  <c r="A687" i="1"/>
  <c r="B687" i="1"/>
  <c r="C687" i="1"/>
  <c r="D687" i="1"/>
  <c r="G687" i="1"/>
  <c r="H687" i="1"/>
  <c r="I687" i="1"/>
  <c r="J687" i="1"/>
  <c r="A688" i="1"/>
  <c r="B688" i="1"/>
  <c r="C688" i="1"/>
  <c r="D688" i="1"/>
  <c r="G688" i="1"/>
  <c r="H688" i="1"/>
  <c r="I688" i="1"/>
  <c r="J688" i="1"/>
  <c r="A689" i="1"/>
  <c r="B689" i="1"/>
  <c r="C689" i="1"/>
  <c r="D689" i="1"/>
  <c r="G689" i="1"/>
  <c r="H689" i="1"/>
  <c r="I689" i="1"/>
  <c r="J689" i="1"/>
  <c r="A690" i="1"/>
  <c r="B690" i="1"/>
  <c r="C690" i="1"/>
  <c r="D690" i="1"/>
  <c r="G690" i="1"/>
  <c r="H690" i="1"/>
  <c r="I690" i="1"/>
  <c r="J690" i="1"/>
  <c r="A691" i="1"/>
  <c r="B691" i="1"/>
  <c r="C691" i="1"/>
  <c r="D691" i="1"/>
  <c r="G691" i="1"/>
  <c r="H691" i="1"/>
  <c r="I691" i="1"/>
  <c r="J691" i="1"/>
  <c r="A692" i="1"/>
  <c r="B692" i="1"/>
  <c r="C692" i="1"/>
  <c r="D692" i="1"/>
  <c r="G692" i="1"/>
  <c r="H692" i="1"/>
  <c r="I692" i="1"/>
  <c r="J692" i="1"/>
  <c r="A693" i="1"/>
  <c r="B693" i="1"/>
  <c r="C693" i="1"/>
  <c r="D693" i="1"/>
  <c r="G693" i="1"/>
  <c r="H693" i="1"/>
  <c r="I693" i="1"/>
  <c r="J693" i="1"/>
  <c r="A694" i="1"/>
  <c r="B694" i="1"/>
  <c r="C694" i="1"/>
  <c r="D694" i="1"/>
  <c r="G694" i="1"/>
  <c r="H694" i="1"/>
  <c r="I694" i="1"/>
  <c r="J694" i="1"/>
  <c r="A695" i="1"/>
  <c r="B695" i="1"/>
  <c r="C695" i="1"/>
  <c r="D695" i="1"/>
  <c r="G695" i="1"/>
  <c r="H695" i="1"/>
  <c r="I695" i="1"/>
  <c r="J695" i="1"/>
  <c r="A696" i="1"/>
  <c r="B696" i="1"/>
  <c r="C696" i="1"/>
  <c r="D696" i="1"/>
  <c r="G696" i="1"/>
  <c r="H696" i="1"/>
  <c r="I696" i="1"/>
  <c r="J696" i="1"/>
  <c r="A697" i="1"/>
  <c r="B697" i="1"/>
  <c r="C697" i="1"/>
  <c r="D697" i="1"/>
  <c r="G697" i="1"/>
  <c r="H697" i="1"/>
  <c r="I697" i="1"/>
  <c r="J697" i="1"/>
  <c r="A698" i="1"/>
  <c r="B698" i="1"/>
  <c r="C698" i="1"/>
  <c r="D698" i="1"/>
  <c r="G698" i="1"/>
  <c r="H698" i="1"/>
  <c r="I698" i="1"/>
  <c r="J698" i="1"/>
  <c r="A699" i="1"/>
  <c r="B699" i="1"/>
  <c r="C699" i="1"/>
  <c r="D699" i="1"/>
  <c r="G699" i="1"/>
  <c r="H699" i="1"/>
  <c r="I699" i="1"/>
  <c r="J699" i="1"/>
  <c r="A700" i="1"/>
  <c r="B700" i="1"/>
  <c r="C700" i="1"/>
  <c r="D700" i="1"/>
  <c r="G700" i="1"/>
  <c r="H700" i="1"/>
  <c r="I700" i="1"/>
  <c r="J700" i="1"/>
  <c r="A701" i="1"/>
  <c r="B701" i="1"/>
  <c r="C701" i="1"/>
  <c r="D701" i="1"/>
  <c r="G701" i="1"/>
  <c r="H701" i="1"/>
  <c r="I701" i="1"/>
  <c r="J701" i="1"/>
  <c r="A702" i="1"/>
  <c r="B702" i="1"/>
  <c r="C702" i="1"/>
  <c r="D702" i="1"/>
  <c r="G702" i="1"/>
  <c r="H702" i="1"/>
  <c r="I702" i="1"/>
  <c r="J702" i="1"/>
  <c r="A703" i="1"/>
  <c r="B703" i="1"/>
  <c r="C703" i="1"/>
  <c r="D703" i="1"/>
  <c r="G703" i="1"/>
  <c r="H703" i="1"/>
  <c r="I703" i="1"/>
  <c r="J703" i="1"/>
  <c r="A704" i="1"/>
  <c r="B704" i="1"/>
  <c r="C704" i="1"/>
  <c r="D704" i="1"/>
  <c r="G704" i="1"/>
  <c r="H704" i="1"/>
  <c r="I704" i="1"/>
  <c r="J704" i="1"/>
  <c r="A705" i="1"/>
  <c r="B705" i="1"/>
  <c r="C705" i="1"/>
  <c r="D705" i="1"/>
  <c r="G705" i="1"/>
  <c r="H705" i="1"/>
  <c r="I705" i="1"/>
  <c r="J705" i="1"/>
  <c r="A706" i="1"/>
  <c r="B706" i="1"/>
  <c r="C706" i="1"/>
  <c r="D706" i="1"/>
  <c r="G706" i="1"/>
  <c r="H706" i="1"/>
  <c r="I706" i="1"/>
  <c r="J706" i="1"/>
  <c r="A707" i="1"/>
  <c r="B707" i="1"/>
  <c r="C707" i="1"/>
  <c r="D707" i="1"/>
  <c r="G707" i="1"/>
  <c r="H707" i="1"/>
  <c r="I707" i="1"/>
  <c r="J707" i="1"/>
  <c r="A708" i="1"/>
  <c r="B708" i="1"/>
  <c r="C708" i="1"/>
  <c r="D708" i="1"/>
  <c r="G708" i="1"/>
  <c r="H708" i="1"/>
  <c r="I708" i="1"/>
  <c r="J708" i="1"/>
  <c r="A709" i="1"/>
  <c r="B709" i="1"/>
  <c r="C709" i="1"/>
  <c r="D709" i="1"/>
  <c r="G709" i="1"/>
  <c r="H709" i="1"/>
  <c r="I709" i="1"/>
  <c r="J709" i="1"/>
  <c r="A710" i="1"/>
  <c r="B710" i="1"/>
  <c r="C710" i="1"/>
  <c r="D710" i="1"/>
  <c r="G710" i="1"/>
  <c r="H710" i="1"/>
  <c r="I710" i="1"/>
  <c r="J710" i="1"/>
  <c r="A711" i="1"/>
  <c r="B711" i="1"/>
  <c r="C711" i="1"/>
  <c r="D711" i="1"/>
  <c r="G711" i="1"/>
  <c r="H711" i="1"/>
  <c r="I711" i="1"/>
  <c r="J711" i="1"/>
  <c r="A712" i="1"/>
  <c r="B712" i="1"/>
  <c r="C712" i="1"/>
  <c r="D712" i="1"/>
  <c r="G712" i="1"/>
  <c r="H712" i="1"/>
  <c r="I712" i="1"/>
  <c r="J712" i="1"/>
  <c r="A713" i="1"/>
  <c r="B713" i="1"/>
  <c r="C713" i="1"/>
  <c r="D713" i="1"/>
  <c r="G713" i="1"/>
  <c r="H713" i="1"/>
  <c r="I713" i="1"/>
  <c r="J713" i="1"/>
  <c r="A714" i="1"/>
  <c r="B714" i="1"/>
  <c r="C714" i="1"/>
  <c r="D714" i="1"/>
  <c r="G714" i="1"/>
  <c r="H714" i="1"/>
  <c r="I714" i="1"/>
  <c r="J714" i="1"/>
  <c r="A715" i="1"/>
  <c r="B715" i="1"/>
  <c r="C715" i="1"/>
  <c r="D715" i="1"/>
  <c r="G715" i="1"/>
  <c r="H715" i="1"/>
  <c r="I715" i="1"/>
  <c r="J715" i="1"/>
  <c r="A716" i="1"/>
  <c r="B716" i="1"/>
  <c r="C716" i="1"/>
  <c r="D716" i="1"/>
  <c r="G716" i="1"/>
  <c r="H716" i="1"/>
  <c r="I716" i="1"/>
  <c r="J716" i="1"/>
  <c r="A717" i="1"/>
  <c r="B717" i="1"/>
  <c r="C717" i="1"/>
  <c r="D717" i="1"/>
  <c r="G717" i="1"/>
  <c r="H717" i="1"/>
  <c r="I717" i="1"/>
  <c r="J717" i="1"/>
  <c r="A718" i="1"/>
  <c r="B718" i="1"/>
  <c r="C718" i="1"/>
  <c r="D718" i="1"/>
  <c r="G718" i="1"/>
  <c r="H718" i="1"/>
  <c r="I718" i="1"/>
  <c r="J718" i="1"/>
  <c r="A719" i="1"/>
  <c r="B719" i="1"/>
  <c r="C719" i="1"/>
  <c r="D719" i="1"/>
  <c r="G719" i="1"/>
  <c r="H719" i="1"/>
  <c r="I719" i="1"/>
  <c r="J719" i="1"/>
  <c r="A720" i="1"/>
  <c r="B720" i="1"/>
  <c r="C720" i="1"/>
  <c r="D720" i="1"/>
  <c r="G720" i="1"/>
  <c r="H720" i="1"/>
  <c r="I720" i="1"/>
  <c r="J720" i="1"/>
  <c r="A721" i="1"/>
  <c r="B721" i="1"/>
  <c r="C721" i="1"/>
  <c r="D721" i="1"/>
  <c r="G721" i="1"/>
  <c r="H721" i="1"/>
  <c r="I721" i="1"/>
  <c r="J721" i="1"/>
  <c r="A722" i="1"/>
  <c r="B722" i="1"/>
  <c r="C722" i="1"/>
  <c r="D722" i="1"/>
  <c r="G722" i="1"/>
  <c r="H722" i="1"/>
  <c r="I722" i="1"/>
  <c r="J72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2"/>
  <sheetViews>
    <sheetView tabSelected="1" workbookViewId="0"/>
  </sheetViews>
  <sheetFormatPr defaultRowHeight="15" x14ac:dyDescent="0.25"/>
  <cols>
    <col min="1" max="1" width="11" bestFit="1" customWidth="1"/>
    <col min="2" max="2" width="12.5703125" bestFit="1" customWidth="1"/>
    <col min="3" max="3" width="13.42578125" bestFit="1" customWidth="1"/>
    <col min="4" max="4" width="15.5703125" bestFit="1" customWidth="1"/>
    <col min="5" max="5" width="9" bestFit="1" customWidth="1"/>
    <col min="6" max="6" width="6.85546875" bestFit="1" customWidth="1"/>
    <col min="7" max="7" width="11" bestFit="1" customWidth="1"/>
    <col min="8" max="8" width="10.42578125" bestFit="1" customWidth="1"/>
    <col min="9" max="9" width="11" bestFit="1" customWidth="1"/>
  </cols>
  <sheetData>
    <row r="1" spans="1:10" x14ac:dyDescent="0.25">
      <c r="A1" t="str">
        <f>"PROJECTID"</f>
        <v>PROJECTID</v>
      </c>
      <c r="B1" t="str">
        <f>"CUSTOMERID"</f>
        <v>CUSTOMERID</v>
      </c>
      <c r="C1" t="str">
        <f>"VEHICLE_TYPE"</f>
        <v>VEHICLE_TYPE</v>
      </c>
      <c r="D1" t="str">
        <f>"POSTAL_SECTOR"</f>
        <v>POSTAL_SECTOR</v>
      </c>
      <c r="E1" t="str">
        <f>"WEIGHT"</f>
        <v>WEIGHT</v>
      </c>
      <c r="F1" t="str">
        <f>"PIECES"</f>
        <v>PIECES</v>
      </c>
      <c r="G1" t="str">
        <f>"ORDER_NO"</f>
        <v>ORDER_NO</v>
      </c>
      <c r="H1" t="str">
        <f>"REQ_DATE"</f>
        <v>REQ_DATE</v>
      </c>
      <c r="I1" t="str">
        <f>"LOAD_NO"</f>
        <v>LOAD_NO</v>
      </c>
      <c r="J1" t="str">
        <f>"DELIVERY_STATUS"</f>
        <v>DELIVERY_STATUS</v>
      </c>
    </row>
    <row r="2" spans="1:10" x14ac:dyDescent="0.25">
      <c r="A2" t="str">
        <f>"0000112035"</f>
        <v>0000112035</v>
      </c>
      <c r="B2" t="str">
        <f>"0001101688"</f>
        <v>0001101688</v>
      </c>
      <c r="C2" t="str">
        <f t="shared" ref="C2:C7" si="0">"TR40/24 "</f>
        <v xml:space="preserve">TR40/24 </v>
      </c>
      <c r="D2" t="str">
        <f>"57"</f>
        <v>57</v>
      </c>
      <c r="E2">
        <v>1284.201</v>
      </c>
      <c r="F2">
        <v>1748</v>
      </c>
      <c r="G2" t="str">
        <f>"1031810146"</f>
        <v>1031810146</v>
      </c>
      <c r="H2" t="str">
        <f t="shared" ref="H2:H47" si="1">"2025-11-29"</f>
        <v>2025-11-29</v>
      </c>
      <c r="I2" t="str">
        <f>"2511297885"</f>
        <v>2511297885</v>
      </c>
      <c r="J2" t="str">
        <f t="shared" ref="J2:J65" si="2">"DELIVERED"</f>
        <v>DELIVERED</v>
      </c>
    </row>
    <row r="3" spans="1:10" x14ac:dyDescent="0.25">
      <c r="A3" t="str">
        <f>"0000112035"</f>
        <v>0000112035</v>
      </c>
      <c r="B3" t="str">
        <f>"0001101688"</f>
        <v>0001101688</v>
      </c>
      <c r="C3" t="str">
        <f t="shared" si="0"/>
        <v xml:space="preserve">TR40/24 </v>
      </c>
      <c r="D3" t="str">
        <f>"57"</f>
        <v>57</v>
      </c>
      <c r="E3">
        <v>489.36700000000002</v>
      </c>
      <c r="F3">
        <v>753</v>
      </c>
      <c r="G3" t="str">
        <f>"1031813760"</f>
        <v>1031813760</v>
      </c>
      <c r="H3" t="str">
        <f t="shared" si="1"/>
        <v>2025-11-29</v>
      </c>
      <c r="I3" t="str">
        <f>"2511297232"</f>
        <v>2511297232</v>
      </c>
      <c r="J3" t="str">
        <f t="shared" si="2"/>
        <v>DELIVERED</v>
      </c>
    </row>
    <row r="4" spans="1:10" x14ac:dyDescent="0.25">
      <c r="A4" t="str">
        <f>"0000113084"</f>
        <v>0000113084</v>
      </c>
      <c r="B4" t="str">
        <f>"0001101231"</f>
        <v>0001101231</v>
      </c>
      <c r="C4" t="str">
        <f t="shared" si="0"/>
        <v xml:space="preserve">TR40/24 </v>
      </c>
      <c r="D4" t="str">
        <f>"99"</f>
        <v>99</v>
      </c>
      <c r="E4">
        <v>3.97</v>
      </c>
      <c r="F4">
        <v>498</v>
      </c>
      <c r="G4" t="str">
        <f>"1031812820"</f>
        <v>1031812820</v>
      </c>
      <c r="H4" t="str">
        <f t="shared" si="1"/>
        <v>2025-11-29</v>
      </c>
      <c r="I4" t="str">
        <f>"2511297871"</f>
        <v>2511297871</v>
      </c>
      <c r="J4" t="str">
        <f t="shared" si="2"/>
        <v>DELIVERED</v>
      </c>
    </row>
    <row r="5" spans="1:10" x14ac:dyDescent="0.25">
      <c r="A5" t="str">
        <f>"0000113084"</f>
        <v>0000113084</v>
      </c>
      <c r="B5" t="str">
        <f>"0001101231"</f>
        <v>0001101231</v>
      </c>
      <c r="C5" t="str">
        <f t="shared" si="0"/>
        <v xml:space="preserve">TR40/24 </v>
      </c>
      <c r="D5" t="str">
        <f>"99"</f>
        <v>99</v>
      </c>
      <c r="E5">
        <v>30.254999999999999</v>
      </c>
      <c r="F5">
        <v>54</v>
      </c>
      <c r="G5" t="str">
        <f>"1031812821"</f>
        <v>1031812821</v>
      </c>
      <c r="H5" t="str">
        <f t="shared" si="1"/>
        <v>2025-11-29</v>
      </c>
      <c r="I5" t="str">
        <f>"2511297889"</f>
        <v>2511297889</v>
      </c>
      <c r="J5" t="str">
        <f t="shared" si="2"/>
        <v>DELIVERED</v>
      </c>
    </row>
    <row r="6" spans="1:10" x14ac:dyDescent="0.25">
      <c r="A6" t="str">
        <f>"0000113084"</f>
        <v>0000113084</v>
      </c>
      <c r="B6" t="str">
        <f>"0001101231"</f>
        <v>0001101231</v>
      </c>
      <c r="C6" t="str">
        <f t="shared" si="0"/>
        <v xml:space="preserve">TR40/24 </v>
      </c>
      <c r="D6" t="str">
        <f>"99"</f>
        <v>99</v>
      </c>
      <c r="E6">
        <v>4.3460000000000001</v>
      </c>
      <c r="F6">
        <v>887</v>
      </c>
      <c r="G6" t="str">
        <f>"1031814744"</f>
        <v>1031814744</v>
      </c>
      <c r="H6" t="str">
        <f t="shared" si="1"/>
        <v>2025-11-29</v>
      </c>
      <c r="I6" t="str">
        <f>"2511297871"</f>
        <v>2511297871</v>
      </c>
      <c r="J6" t="str">
        <f t="shared" si="2"/>
        <v>DELIVERED</v>
      </c>
    </row>
    <row r="7" spans="1:10" x14ac:dyDescent="0.25">
      <c r="A7" t="str">
        <f>"0000113084"</f>
        <v>0000113084</v>
      </c>
      <c r="B7" t="str">
        <f>"0001101231"</f>
        <v>0001101231</v>
      </c>
      <c r="C7" t="str">
        <f t="shared" si="0"/>
        <v xml:space="preserve">TR40/24 </v>
      </c>
      <c r="D7" t="str">
        <f>"99"</f>
        <v>99</v>
      </c>
      <c r="E7">
        <v>50.206000000000003</v>
      </c>
      <c r="F7">
        <v>100</v>
      </c>
      <c r="G7" t="str">
        <f>"1031814745"</f>
        <v>1031814745</v>
      </c>
      <c r="H7" t="str">
        <f t="shared" si="1"/>
        <v>2025-11-29</v>
      </c>
      <c r="I7" t="str">
        <f>"2511297889"</f>
        <v>2511297889</v>
      </c>
      <c r="J7" t="str">
        <f t="shared" si="2"/>
        <v>DELIVERED</v>
      </c>
    </row>
    <row r="8" spans="1:10" x14ac:dyDescent="0.25">
      <c r="A8" t="str">
        <f>"0000113294"</f>
        <v>0000113294</v>
      </c>
      <c r="B8" t="str">
        <f>"0001101198"</f>
        <v>0001101198</v>
      </c>
      <c r="C8" t="str">
        <f>"HC      "</f>
        <v xml:space="preserve">HC      </v>
      </c>
      <c r="D8" t="str">
        <f>"76"</f>
        <v>76</v>
      </c>
      <c r="E8">
        <v>0.16</v>
      </c>
      <c r="F8">
        <v>128</v>
      </c>
      <c r="G8" t="str">
        <f>"1031814013"</f>
        <v>1031814013</v>
      </c>
      <c r="H8" t="str">
        <f t="shared" si="1"/>
        <v>2025-11-29</v>
      </c>
      <c r="I8" t="str">
        <f>"2511297863"</f>
        <v>2511297863</v>
      </c>
      <c r="J8" t="str">
        <f t="shared" si="2"/>
        <v>DELIVERED</v>
      </c>
    </row>
    <row r="9" spans="1:10" x14ac:dyDescent="0.25">
      <c r="A9" t="str">
        <f>"0000113294"</f>
        <v>0000113294</v>
      </c>
      <c r="B9" t="str">
        <f>"0001101198"</f>
        <v>0001101198</v>
      </c>
      <c r="C9" t="str">
        <f t="shared" ref="C9:C36" si="3">"TR40/24 "</f>
        <v xml:space="preserve">TR40/24 </v>
      </c>
      <c r="D9" t="str">
        <f>"76"</f>
        <v>76</v>
      </c>
      <c r="E9">
        <v>0.16700000000000001</v>
      </c>
      <c r="F9">
        <v>90</v>
      </c>
      <c r="G9" t="str">
        <f>"1031816126"</f>
        <v>1031816126</v>
      </c>
      <c r="H9" t="str">
        <f t="shared" si="1"/>
        <v>2025-11-29</v>
      </c>
      <c r="I9" t="str">
        <f>"2511297863"</f>
        <v>2511297863</v>
      </c>
      <c r="J9" t="str">
        <f t="shared" si="2"/>
        <v>DELIVERED</v>
      </c>
    </row>
    <row r="10" spans="1:10" x14ac:dyDescent="0.25">
      <c r="A10" t="str">
        <f>"0000113450"</f>
        <v>0000113450</v>
      </c>
      <c r="B10" t="str">
        <f>"0001104583"</f>
        <v>0001104583</v>
      </c>
      <c r="C10" t="str">
        <f t="shared" si="3"/>
        <v xml:space="preserve">TR40/24 </v>
      </c>
      <c r="D10" t="str">
        <f>"99"</f>
        <v>99</v>
      </c>
      <c r="E10">
        <v>18.567</v>
      </c>
      <c r="F10">
        <v>6044</v>
      </c>
      <c r="G10" t="str">
        <f>"1031811399"</f>
        <v>1031811399</v>
      </c>
      <c r="H10" t="str">
        <f t="shared" si="1"/>
        <v>2025-11-29</v>
      </c>
      <c r="I10" t="str">
        <f>"2512018981"</f>
        <v>2512018981</v>
      </c>
      <c r="J10" t="str">
        <f t="shared" si="2"/>
        <v>DELIVERED</v>
      </c>
    </row>
    <row r="11" spans="1:10" x14ac:dyDescent="0.25">
      <c r="A11" t="str">
        <f>"0000114070"</f>
        <v>0000114070</v>
      </c>
      <c r="B11" t="str">
        <f>"0001104284"</f>
        <v>0001104284</v>
      </c>
      <c r="C11" t="str">
        <f t="shared" si="3"/>
        <v xml:space="preserve">TR40/24 </v>
      </c>
      <c r="D11" t="str">
        <f>"06"</f>
        <v>06</v>
      </c>
      <c r="E11">
        <v>13.614000000000001</v>
      </c>
      <c r="F11">
        <v>1540</v>
      </c>
      <c r="G11" t="str">
        <f>"1031815441"</f>
        <v>1031815441</v>
      </c>
      <c r="H11" t="str">
        <f t="shared" si="1"/>
        <v>2025-11-29</v>
      </c>
      <c r="I11" t="str">
        <f>"2511298691"</f>
        <v>2511298691</v>
      </c>
      <c r="J11" t="str">
        <f t="shared" si="2"/>
        <v>DELIVERED</v>
      </c>
    </row>
    <row r="12" spans="1:10" x14ac:dyDescent="0.25">
      <c r="A12" t="str">
        <f t="shared" ref="A12:A17" si="4">"0000114142"</f>
        <v>0000114142</v>
      </c>
      <c r="B12" t="str">
        <f t="shared" ref="B12:B17" si="5">"0001102636"</f>
        <v>0001102636</v>
      </c>
      <c r="C12" t="str">
        <f t="shared" si="3"/>
        <v xml:space="preserve">TR40/24 </v>
      </c>
      <c r="D12" t="str">
        <f t="shared" ref="D12:D17" si="6">"46"</f>
        <v>46</v>
      </c>
      <c r="E12">
        <v>0.70899999999999996</v>
      </c>
      <c r="F12">
        <v>75</v>
      </c>
      <c r="G12" t="str">
        <f>"1031800180"</f>
        <v>1031800180</v>
      </c>
      <c r="H12" t="str">
        <f t="shared" si="1"/>
        <v>2025-11-29</v>
      </c>
      <c r="I12" t="str">
        <f t="shared" ref="I12:I17" si="7">"2511287605"</f>
        <v>2511287605</v>
      </c>
      <c r="J12" t="str">
        <f t="shared" si="2"/>
        <v>DELIVERED</v>
      </c>
    </row>
    <row r="13" spans="1:10" x14ac:dyDescent="0.25">
      <c r="A13" t="str">
        <f t="shared" si="4"/>
        <v>0000114142</v>
      </c>
      <c r="B13" t="str">
        <f t="shared" si="5"/>
        <v>0001102636</v>
      </c>
      <c r="C13" t="str">
        <f t="shared" si="3"/>
        <v xml:space="preserve">TR40/24 </v>
      </c>
      <c r="D13" t="str">
        <f t="shared" si="6"/>
        <v>46</v>
      </c>
      <c r="E13">
        <v>1.111</v>
      </c>
      <c r="F13">
        <v>95</v>
      </c>
      <c r="G13" t="str">
        <f>"1031800181"</f>
        <v>1031800181</v>
      </c>
      <c r="H13" t="str">
        <f t="shared" si="1"/>
        <v>2025-11-29</v>
      </c>
      <c r="I13" t="str">
        <f t="shared" si="7"/>
        <v>2511287605</v>
      </c>
      <c r="J13" t="str">
        <f t="shared" si="2"/>
        <v>DELIVERED</v>
      </c>
    </row>
    <row r="14" spans="1:10" x14ac:dyDescent="0.25">
      <c r="A14" t="str">
        <f t="shared" si="4"/>
        <v>0000114142</v>
      </c>
      <c r="B14" t="str">
        <f t="shared" si="5"/>
        <v>0001102636</v>
      </c>
      <c r="C14" t="str">
        <f t="shared" si="3"/>
        <v xml:space="preserve">TR40/24 </v>
      </c>
      <c r="D14" t="str">
        <f t="shared" si="6"/>
        <v>46</v>
      </c>
      <c r="E14">
        <v>0.47599999999999998</v>
      </c>
      <c r="F14">
        <v>50</v>
      </c>
      <c r="G14" t="str">
        <f>"1031800182"</f>
        <v>1031800182</v>
      </c>
      <c r="H14" t="str">
        <f t="shared" si="1"/>
        <v>2025-11-29</v>
      </c>
      <c r="I14" t="str">
        <f t="shared" si="7"/>
        <v>2511287605</v>
      </c>
      <c r="J14" t="str">
        <f t="shared" si="2"/>
        <v>DELIVERED</v>
      </c>
    </row>
    <row r="15" spans="1:10" x14ac:dyDescent="0.25">
      <c r="A15" t="str">
        <f t="shared" si="4"/>
        <v>0000114142</v>
      </c>
      <c r="B15" t="str">
        <f t="shared" si="5"/>
        <v>0001102636</v>
      </c>
      <c r="C15" t="str">
        <f t="shared" si="3"/>
        <v xml:space="preserve">TR40/24 </v>
      </c>
      <c r="D15" t="str">
        <f t="shared" si="6"/>
        <v>46</v>
      </c>
      <c r="E15">
        <v>4.2460000000000004</v>
      </c>
      <c r="F15">
        <v>1986</v>
      </c>
      <c r="G15" t="str">
        <f>"1031800183"</f>
        <v>1031800183</v>
      </c>
      <c r="H15" t="str">
        <f t="shared" si="1"/>
        <v>2025-11-29</v>
      </c>
      <c r="I15" t="str">
        <f t="shared" si="7"/>
        <v>2511287605</v>
      </c>
      <c r="J15" t="str">
        <f t="shared" si="2"/>
        <v>DELIVERED</v>
      </c>
    </row>
    <row r="16" spans="1:10" x14ac:dyDescent="0.25">
      <c r="A16" t="str">
        <f t="shared" si="4"/>
        <v>0000114142</v>
      </c>
      <c r="B16" t="str">
        <f t="shared" si="5"/>
        <v>0001102636</v>
      </c>
      <c r="C16" t="str">
        <f t="shared" si="3"/>
        <v xml:space="preserve">TR40/24 </v>
      </c>
      <c r="D16" t="str">
        <f t="shared" si="6"/>
        <v>46</v>
      </c>
      <c r="E16">
        <v>4.1509999999999998</v>
      </c>
      <c r="F16">
        <v>1208</v>
      </c>
      <c r="G16" t="str">
        <f>"1031808375"</f>
        <v>1031808375</v>
      </c>
      <c r="H16" t="str">
        <f t="shared" si="1"/>
        <v>2025-11-29</v>
      </c>
      <c r="I16" t="str">
        <f t="shared" si="7"/>
        <v>2511287605</v>
      </c>
      <c r="J16" t="str">
        <f t="shared" si="2"/>
        <v>DELIVERED</v>
      </c>
    </row>
    <row r="17" spans="1:10" x14ac:dyDescent="0.25">
      <c r="A17" t="str">
        <f t="shared" si="4"/>
        <v>0000114142</v>
      </c>
      <c r="B17" t="str">
        <f t="shared" si="5"/>
        <v>0001102636</v>
      </c>
      <c r="C17" t="str">
        <f t="shared" si="3"/>
        <v xml:space="preserve">TR40/24 </v>
      </c>
      <c r="D17" t="str">
        <f t="shared" si="6"/>
        <v>46</v>
      </c>
      <c r="E17">
        <v>7.4420000000000002</v>
      </c>
      <c r="F17">
        <v>4173</v>
      </c>
      <c r="G17" t="str">
        <f>"1031808383"</f>
        <v>1031808383</v>
      </c>
      <c r="H17" t="str">
        <f t="shared" si="1"/>
        <v>2025-11-29</v>
      </c>
      <c r="I17" t="str">
        <f t="shared" si="7"/>
        <v>2511287605</v>
      </c>
      <c r="J17" t="str">
        <f t="shared" si="2"/>
        <v>DELIVERED</v>
      </c>
    </row>
    <row r="18" spans="1:10" x14ac:dyDescent="0.25">
      <c r="A18" t="str">
        <f>"0000114147"</f>
        <v>0000114147</v>
      </c>
      <c r="B18" t="str">
        <f>"0001101356"</f>
        <v>0001101356</v>
      </c>
      <c r="C18" t="str">
        <f t="shared" si="3"/>
        <v xml:space="preserve">TR40/24 </v>
      </c>
      <c r="D18" t="str">
        <f>"33"</f>
        <v>33</v>
      </c>
      <c r="E18">
        <v>5.6630000000000003</v>
      </c>
      <c r="F18">
        <v>1875</v>
      </c>
      <c r="G18" t="str">
        <f>"1031805525"</f>
        <v>1031805525</v>
      </c>
      <c r="H18" t="str">
        <f t="shared" si="1"/>
        <v>2025-11-29</v>
      </c>
      <c r="I18" t="str">
        <f>"2511287595"</f>
        <v>2511287595</v>
      </c>
      <c r="J18" t="str">
        <f t="shared" si="2"/>
        <v>DELIVERED</v>
      </c>
    </row>
    <row r="19" spans="1:10" x14ac:dyDescent="0.25">
      <c r="A19" t="str">
        <f>"0000114147"</f>
        <v>0000114147</v>
      </c>
      <c r="B19" t="str">
        <f>"0001101356"</f>
        <v>0001101356</v>
      </c>
      <c r="C19" t="str">
        <f t="shared" si="3"/>
        <v xml:space="preserve">TR40/24 </v>
      </c>
      <c r="D19" t="str">
        <f>"33"</f>
        <v>33</v>
      </c>
      <c r="E19">
        <v>6.9219999999999997</v>
      </c>
      <c r="F19">
        <v>1828</v>
      </c>
      <c r="G19" t="str">
        <f>"1031805549"</f>
        <v>1031805549</v>
      </c>
      <c r="H19" t="str">
        <f t="shared" si="1"/>
        <v>2025-11-29</v>
      </c>
      <c r="I19" t="str">
        <f>"2511287595"</f>
        <v>2511287595</v>
      </c>
      <c r="J19" t="str">
        <f t="shared" si="2"/>
        <v>DELIVERED</v>
      </c>
    </row>
    <row r="20" spans="1:10" x14ac:dyDescent="0.25">
      <c r="A20" t="str">
        <f>"0000114192"</f>
        <v>0000114192</v>
      </c>
      <c r="B20" t="str">
        <f>"0001101504"</f>
        <v>0001101504</v>
      </c>
      <c r="C20" t="str">
        <f t="shared" si="3"/>
        <v xml:space="preserve">TR40/24 </v>
      </c>
      <c r="D20" t="str">
        <f>"58"</f>
        <v>58</v>
      </c>
      <c r="E20">
        <v>4.1970000000000001</v>
      </c>
      <c r="F20">
        <v>229</v>
      </c>
      <c r="G20" t="str">
        <f>"1031814048"</f>
        <v>1031814048</v>
      </c>
      <c r="H20" t="str">
        <f t="shared" si="1"/>
        <v>2025-11-29</v>
      </c>
      <c r="I20" t="str">
        <f>"2511297373"</f>
        <v>2511297373</v>
      </c>
      <c r="J20" t="str">
        <f t="shared" si="2"/>
        <v>DELIVERED</v>
      </c>
    </row>
    <row r="21" spans="1:10" x14ac:dyDescent="0.25">
      <c r="A21" t="str">
        <f>"0000114192"</f>
        <v>0000114192</v>
      </c>
      <c r="B21" t="str">
        <f>"0001101504"</f>
        <v>0001101504</v>
      </c>
      <c r="C21" t="str">
        <f t="shared" si="3"/>
        <v xml:space="preserve">TR40/24 </v>
      </c>
      <c r="D21" t="str">
        <f>"58"</f>
        <v>58</v>
      </c>
      <c r="E21">
        <v>8.657</v>
      </c>
      <c r="F21">
        <v>324</v>
      </c>
      <c r="G21" t="str">
        <f>"1031814049"</f>
        <v>1031814049</v>
      </c>
      <c r="H21" t="str">
        <f t="shared" si="1"/>
        <v>2025-11-29</v>
      </c>
      <c r="I21" t="str">
        <f>"2511297373"</f>
        <v>2511297373</v>
      </c>
      <c r="J21" t="str">
        <f t="shared" si="2"/>
        <v>DELIVERED</v>
      </c>
    </row>
    <row r="22" spans="1:10" x14ac:dyDescent="0.25">
      <c r="A22" t="str">
        <f>"0000114252"</f>
        <v>0000114252</v>
      </c>
      <c r="B22" t="str">
        <f>"0001101656"</f>
        <v>0001101656</v>
      </c>
      <c r="C22" t="str">
        <f t="shared" si="3"/>
        <v xml:space="preserve">TR40/24 </v>
      </c>
      <c r="D22" t="str">
        <f>"99"</f>
        <v>99</v>
      </c>
      <c r="E22">
        <v>15.73</v>
      </c>
      <c r="F22">
        <v>585</v>
      </c>
      <c r="G22" t="str">
        <f>"1031811564"</f>
        <v>1031811564</v>
      </c>
      <c r="H22" t="str">
        <f t="shared" si="1"/>
        <v>2025-11-29</v>
      </c>
      <c r="I22" t="str">
        <f>"2511275834"</f>
        <v>2511275834</v>
      </c>
      <c r="J22" t="str">
        <f t="shared" si="2"/>
        <v>DELIVERED</v>
      </c>
    </row>
    <row r="23" spans="1:10" x14ac:dyDescent="0.25">
      <c r="A23" t="str">
        <f>"0000114298"</f>
        <v>0000114298</v>
      </c>
      <c r="B23" t="str">
        <f>"0001101477"</f>
        <v>0001101477</v>
      </c>
      <c r="C23" t="str">
        <f t="shared" si="3"/>
        <v xml:space="preserve">TR40/24 </v>
      </c>
      <c r="D23" t="str">
        <f>"39"</f>
        <v>39</v>
      </c>
      <c r="E23">
        <v>16.448</v>
      </c>
      <c r="F23">
        <v>6798</v>
      </c>
      <c r="G23" t="str">
        <f>"1031803290"</f>
        <v>1031803290</v>
      </c>
      <c r="H23" t="str">
        <f t="shared" si="1"/>
        <v>2025-11-29</v>
      </c>
      <c r="I23" t="str">
        <f>"2511195088"</f>
        <v>2511195088</v>
      </c>
      <c r="J23" t="str">
        <f t="shared" si="2"/>
        <v>DELIVERED</v>
      </c>
    </row>
    <row r="24" spans="1:10" x14ac:dyDescent="0.25">
      <c r="A24" t="str">
        <f>"0000114448"</f>
        <v>0000114448</v>
      </c>
      <c r="B24" t="str">
        <f>"0001102113"</f>
        <v>0001102113</v>
      </c>
      <c r="C24" t="str">
        <f t="shared" si="3"/>
        <v xml:space="preserve">TR40/24 </v>
      </c>
      <c r="D24" t="str">
        <f>"54"</f>
        <v>54</v>
      </c>
      <c r="E24">
        <v>9.2129999999999992</v>
      </c>
      <c r="F24">
        <v>1670</v>
      </c>
      <c r="G24" t="str">
        <f>"1031813327"</f>
        <v>1031813327</v>
      </c>
      <c r="H24" t="str">
        <f t="shared" si="1"/>
        <v>2025-11-29</v>
      </c>
      <c r="I24" t="str">
        <f>"2511297849"</f>
        <v>2511297849</v>
      </c>
      <c r="J24" t="str">
        <f t="shared" si="2"/>
        <v>DELIVERED</v>
      </c>
    </row>
    <row r="25" spans="1:10" x14ac:dyDescent="0.25">
      <c r="A25" t="str">
        <f>"0000114448"</f>
        <v>0000114448</v>
      </c>
      <c r="B25" t="str">
        <f>"0001102113"</f>
        <v>0001102113</v>
      </c>
      <c r="C25" t="str">
        <f t="shared" si="3"/>
        <v xml:space="preserve">TR40/24 </v>
      </c>
      <c r="D25" t="str">
        <f>"54"</f>
        <v>54</v>
      </c>
      <c r="E25">
        <v>6.2290000000000001</v>
      </c>
      <c r="F25">
        <v>628</v>
      </c>
      <c r="G25" t="str">
        <f>"1031814325"</f>
        <v>1031814325</v>
      </c>
      <c r="H25" t="str">
        <f t="shared" si="1"/>
        <v>2025-11-29</v>
      </c>
      <c r="I25" t="str">
        <f>"2511297849"</f>
        <v>2511297849</v>
      </c>
      <c r="J25" t="str">
        <f t="shared" si="2"/>
        <v>DELIVERED</v>
      </c>
    </row>
    <row r="26" spans="1:10" x14ac:dyDescent="0.25">
      <c r="A26" t="str">
        <f>"0000114524"</f>
        <v>0000114524</v>
      </c>
      <c r="B26" t="str">
        <f>"0001104832"</f>
        <v>0001104832</v>
      </c>
      <c r="C26" t="str">
        <f t="shared" si="3"/>
        <v xml:space="preserve">TR40/24 </v>
      </c>
      <c r="D26" t="str">
        <f>"63"</f>
        <v>63</v>
      </c>
      <c r="E26">
        <v>22.245000000000001</v>
      </c>
      <c r="F26">
        <v>3045</v>
      </c>
      <c r="G26" t="str">
        <f>"1031806488"</f>
        <v>1031806488</v>
      </c>
      <c r="H26" t="str">
        <f t="shared" si="1"/>
        <v>2025-11-29</v>
      </c>
      <c r="I26" t="str">
        <f>"2511275837"</f>
        <v>2511275837</v>
      </c>
      <c r="J26" t="str">
        <f t="shared" si="2"/>
        <v>DELIVERED</v>
      </c>
    </row>
    <row r="27" spans="1:10" x14ac:dyDescent="0.25">
      <c r="A27" t="str">
        <f t="shared" ref="A27:A36" si="8">"0000114599"</f>
        <v>0000114599</v>
      </c>
      <c r="B27" t="str">
        <f t="shared" ref="B27:B36" si="9">"0001101301"</f>
        <v>0001101301</v>
      </c>
      <c r="C27" t="str">
        <f t="shared" si="3"/>
        <v xml:space="preserve">TR40/24 </v>
      </c>
      <c r="D27" t="str">
        <f t="shared" ref="D27:D36" si="10">"07"</f>
        <v>07</v>
      </c>
      <c r="E27">
        <v>2.863</v>
      </c>
      <c r="F27">
        <v>1310</v>
      </c>
      <c r="G27" t="str">
        <f>"1031812116"</f>
        <v>1031812116</v>
      </c>
      <c r="H27" t="str">
        <f t="shared" si="1"/>
        <v>2025-11-29</v>
      </c>
      <c r="I27" t="str">
        <f>"2511297857"</f>
        <v>2511297857</v>
      </c>
      <c r="J27" t="str">
        <f t="shared" si="2"/>
        <v>DELIVERED</v>
      </c>
    </row>
    <row r="28" spans="1:10" x14ac:dyDescent="0.25">
      <c r="A28" t="str">
        <f t="shared" si="8"/>
        <v>0000114599</v>
      </c>
      <c r="B28" t="str">
        <f t="shared" si="9"/>
        <v>0001101301</v>
      </c>
      <c r="C28" t="str">
        <f t="shared" si="3"/>
        <v xml:space="preserve">TR40/24 </v>
      </c>
      <c r="D28" t="str">
        <f t="shared" si="10"/>
        <v>07</v>
      </c>
      <c r="E28">
        <v>32.043999999999997</v>
      </c>
      <c r="F28">
        <v>48</v>
      </c>
      <c r="G28" t="str">
        <f>"1031812117"</f>
        <v>1031812117</v>
      </c>
      <c r="H28" t="str">
        <f t="shared" si="1"/>
        <v>2025-11-29</v>
      </c>
      <c r="I28" t="str">
        <f>"2511297888"</f>
        <v>2511297888</v>
      </c>
      <c r="J28" t="str">
        <f t="shared" si="2"/>
        <v>DELIVERED</v>
      </c>
    </row>
    <row r="29" spans="1:10" x14ac:dyDescent="0.25">
      <c r="A29" t="str">
        <f t="shared" si="8"/>
        <v>0000114599</v>
      </c>
      <c r="B29" t="str">
        <f t="shared" si="9"/>
        <v>0001101301</v>
      </c>
      <c r="C29" t="str">
        <f t="shared" si="3"/>
        <v xml:space="preserve">TR40/24 </v>
      </c>
      <c r="D29" t="str">
        <f t="shared" si="10"/>
        <v>07</v>
      </c>
      <c r="E29">
        <v>4.4980000000000002</v>
      </c>
      <c r="F29">
        <v>1080</v>
      </c>
      <c r="G29" t="str">
        <f>"1031812126"</f>
        <v>1031812126</v>
      </c>
      <c r="H29" t="str">
        <f t="shared" si="1"/>
        <v>2025-11-29</v>
      </c>
      <c r="I29" t="str">
        <f>"2511298690"</f>
        <v>2511298690</v>
      </c>
      <c r="J29" t="str">
        <f t="shared" si="2"/>
        <v>DELIVERED</v>
      </c>
    </row>
    <row r="30" spans="1:10" x14ac:dyDescent="0.25">
      <c r="A30" t="str">
        <f t="shared" si="8"/>
        <v>0000114599</v>
      </c>
      <c r="B30" t="str">
        <f t="shared" si="9"/>
        <v>0001101301</v>
      </c>
      <c r="C30" t="str">
        <f t="shared" si="3"/>
        <v xml:space="preserve">TR40/24 </v>
      </c>
      <c r="D30" t="str">
        <f t="shared" si="10"/>
        <v>07</v>
      </c>
      <c r="E30">
        <v>12.098000000000001</v>
      </c>
      <c r="F30">
        <v>24</v>
      </c>
      <c r="G30" t="str">
        <f>"1031812127"</f>
        <v>1031812127</v>
      </c>
      <c r="H30" t="str">
        <f t="shared" si="1"/>
        <v>2025-11-29</v>
      </c>
      <c r="I30" t="str">
        <f>"2511298690"</f>
        <v>2511298690</v>
      </c>
      <c r="J30" t="str">
        <f t="shared" si="2"/>
        <v>DELIVERED</v>
      </c>
    </row>
    <row r="31" spans="1:10" x14ac:dyDescent="0.25">
      <c r="A31" t="str">
        <f t="shared" si="8"/>
        <v>0000114599</v>
      </c>
      <c r="B31" t="str">
        <f t="shared" si="9"/>
        <v>0001101301</v>
      </c>
      <c r="C31" t="str">
        <f t="shared" si="3"/>
        <v xml:space="preserve">TR40/24 </v>
      </c>
      <c r="D31" t="str">
        <f t="shared" si="10"/>
        <v>07</v>
      </c>
      <c r="E31">
        <v>3.3010000000000002</v>
      </c>
      <c r="F31">
        <v>1618</v>
      </c>
      <c r="G31" t="str">
        <f>"1031814307"</f>
        <v>1031814307</v>
      </c>
      <c r="H31" t="str">
        <f t="shared" si="1"/>
        <v>2025-11-29</v>
      </c>
      <c r="I31" t="str">
        <f>"2511297857"</f>
        <v>2511297857</v>
      </c>
      <c r="J31" t="str">
        <f t="shared" si="2"/>
        <v>DELIVERED</v>
      </c>
    </row>
    <row r="32" spans="1:10" x14ac:dyDescent="0.25">
      <c r="A32" t="str">
        <f t="shared" si="8"/>
        <v>0000114599</v>
      </c>
      <c r="B32" t="str">
        <f t="shared" si="9"/>
        <v>0001101301</v>
      </c>
      <c r="C32" t="str">
        <f t="shared" si="3"/>
        <v xml:space="preserve">TR40/24 </v>
      </c>
      <c r="D32" t="str">
        <f t="shared" si="10"/>
        <v>07</v>
      </c>
      <c r="E32">
        <v>104.19799999999999</v>
      </c>
      <c r="F32">
        <v>162</v>
      </c>
      <c r="G32" t="str">
        <f>"1031814308"</f>
        <v>1031814308</v>
      </c>
      <c r="H32" t="str">
        <f t="shared" si="1"/>
        <v>2025-11-29</v>
      </c>
      <c r="I32" t="str">
        <f>"2511297888"</f>
        <v>2511297888</v>
      </c>
      <c r="J32" t="str">
        <f t="shared" si="2"/>
        <v>DELIVERED</v>
      </c>
    </row>
    <row r="33" spans="1:10" x14ac:dyDescent="0.25">
      <c r="A33" t="str">
        <f t="shared" si="8"/>
        <v>0000114599</v>
      </c>
      <c r="B33" t="str">
        <f t="shared" si="9"/>
        <v>0001101301</v>
      </c>
      <c r="C33" t="str">
        <f t="shared" si="3"/>
        <v xml:space="preserve">TR40/24 </v>
      </c>
      <c r="D33" t="str">
        <f t="shared" si="10"/>
        <v>07</v>
      </c>
      <c r="E33">
        <v>0.79300000000000004</v>
      </c>
      <c r="F33">
        <v>658</v>
      </c>
      <c r="G33" t="str">
        <f>"1031814665"</f>
        <v>1031814665</v>
      </c>
      <c r="H33" t="str">
        <f t="shared" si="1"/>
        <v>2025-11-29</v>
      </c>
      <c r="I33" t="str">
        <f>"2511297857"</f>
        <v>2511297857</v>
      </c>
      <c r="J33" t="str">
        <f t="shared" si="2"/>
        <v>DELIVERED</v>
      </c>
    </row>
    <row r="34" spans="1:10" x14ac:dyDescent="0.25">
      <c r="A34" t="str">
        <f t="shared" si="8"/>
        <v>0000114599</v>
      </c>
      <c r="B34" t="str">
        <f t="shared" si="9"/>
        <v>0001101301</v>
      </c>
      <c r="C34" t="str">
        <f t="shared" si="3"/>
        <v xml:space="preserve">TR40/24 </v>
      </c>
      <c r="D34" t="str">
        <f t="shared" si="10"/>
        <v>07</v>
      </c>
      <c r="E34">
        <v>42.137999999999998</v>
      </c>
      <c r="F34">
        <v>84</v>
      </c>
      <c r="G34" t="str">
        <f>"1031814666"</f>
        <v>1031814666</v>
      </c>
      <c r="H34" t="str">
        <f t="shared" si="1"/>
        <v>2025-11-29</v>
      </c>
      <c r="I34" t="str">
        <f>"2511297888"</f>
        <v>2511297888</v>
      </c>
      <c r="J34" t="str">
        <f t="shared" si="2"/>
        <v>DELIVERED</v>
      </c>
    </row>
    <row r="35" spans="1:10" x14ac:dyDescent="0.25">
      <c r="A35" t="str">
        <f t="shared" si="8"/>
        <v>0000114599</v>
      </c>
      <c r="B35" t="str">
        <f t="shared" si="9"/>
        <v>0001101301</v>
      </c>
      <c r="C35" t="str">
        <f t="shared" si="3"/>
        <v xml:space="preserve">TR40/24 </v>
      </c>
      <c r="D35" t="str">
        <f t="shared" si="10"/>
        <v>07</v>
      </c>
      <c r="E35">
        <v>0.14099999999999999</v>
      </c>
      <c r="F35">
        <v>153</v>
      </c>
      <c r="G35" t="str">
        <f>"1031814670"</f>
        <v>1031814670</v>
      </c>
      <c r="H35" t="str">
        <f t="shared" si="1"/>
        <v>2025-11-29</v>
      </c>
      <c r="I35" t="str">
        <f>"2511297857"</f>
        <v>2511297857</v>
      </c>
      <c r="J35" t="str">
        <f t="shared" si="2"/>
        <v>DELIVERED</v>
      </c>
    </row>
    <row r="36" spans="1:10" x14ac:dyDescent="0.25">
      <c r="A36" t="str">
        <f t="shared" si="8"/>
        <v>0000114599</v>
      </c>
      <c r="B36" t="str">
        <f t="shared" si="9"/>
        <v>0001101301</v>
      </c>
      <c r="C36" t="str">
        <f t="shared" si="3"/>
        <v xml:space="preserve">TR40/24 </v>
      </c>
      <c r="D36" t="str">
        <f t="shared" si="10"/>
        <v>07</v>
      </c>
      <c r="E36">
        <v>72.480999999999995</v>
      </c>
      <c r="F36">
        <v>132</v>
      </c>
      <c r="G36" t="str">
        <f>"1031814671"</f>
        <v>1031814671</v>
      </c>
      <c r="H36" t="str">
        <f t="shared" si="1"/>
        <v>2025-11-29</v>
      </c>
      <c r="I36" t="str">
        <f>"2511297888"</f>
        <v>2511297888</v>
      </c>
      <c r="J36" t="str">
        <f t="shared" si="2"/>
        <v>DELIVERED</v>
      </c>
    </row>
    <row r="37" spans="1:10" x14ac:dyDescent="0.25">
      <c r="A37" t="str">
        <f>"0000114632"</f>
        <v>0000114632</v>
      </c>
      <c r="B37" t="str">
        <f>"0001101477"</f>
        <v>0001101477</v>
      </c>
      <c r="C37" t="str">
        <f>"LB30    "</f>
        <v xml:space="preserve">LB30    </v>
      </c>
      <c r="D37" t="str">
        <f>"76"</f>
        <v>76</v>
      </c>
      <c r="E37">
        <v>12.589</v>
      </c>
      <c r="F37">
        <v>2040</v>
      </c>
      <c r="G37" t="str">
        <f>"1031811131"</f>
        <v>1031811131</v>
      </c>
      <c r="H37" t="str">
        <f t="shared" si="1"/>
        <v>2025-11-29</v>
      </c>
      <c r="I37" t="str">
        <f>"2511297918"</f>
        <v>2511297918</v>
      </c>
      <c r="J37" t="str">
        <f t="shared" si="2"/>
        <v>DELIVERED</v>
      </c>
    </row>
    <row r="38" spans="1:10" x14ac:dyDescent="0.25">
      <c r="A38" t="str">
        <f>"0000114655"</f>
        <v>0000114655</v>
      </c>
      <c r="B38" t="str">
        <f>"0001104892"</f>
        <v>0001104892</v>
      </c>
      <c r="C38" t="str">
        <f t="shared" ref="C38:C69" si="11">"TR40/24 "</f>
        <v xml:space="preserve">TR40/24 </v>
      </c>
      <c r="D38" t="str">
        <f>"99"</f>
        <v>99</v>
      </c>
      <c r="E38">
        <v>2.6120000000000001</v>
      </c>
      <c r="F38">
        <v>380</v>
      </c>
      <c r="G38" t="str">
        <f>"1031810697"</f>
        <v>1031810697</v>
      </c>
      <c r="H38" t="str">
        <f t="shared" si="1"/>
        <v>2025-11-29</v>
      </c>
      <c r="I38" t="str">
        <f>"2511297372"</f>
        <v>2511297372</v>
      </c>
      <c r="J38" t="str">
        <f t="shared" si="2"/>
        <v>DELIVERED</v>
      </c>
    </row>
    <row r="39" spans="1:10" x14ac:dyDescent="0.25">
      <c r="A39" t="str">
        <f>"0000114655"</f>
        <v>0000114655</v>
      </c>
      <c r="B39" t="str">
        <f>"0001104892"</f>
        <v>0001104892</v>
      </c>
      <c r="C39" t="str">
        <f t="shared" si="11"/>
        <v xml:space="preserve">TR40/24 </v>
      </c>
      <c r="D39" t="str">
        <f>"99"</f>
        <v>99</v>
      </c>
      <c r="E39">
        <v>10.993</v>
      </c>
      <c r="F39">
        <v>1579</v>
      </c>
      <c r="G39" t="str">
        <f>"1031812147"</f>
        <v>1031812147</v>
      </c>
      <c r="H39" t="str">
        <f t="shared" si="1"/>
        <v>2025-11-29</v>
      </c>
      <c r="I39" t="str">
        <f>"2511297372"</f>
        <v>2511297372</v>
      </c>
      <c r="J39" t="str">
        <f t="shared" si="2"/>
        <v>DELIVERED</v>
      </c>
    </row>
    <row r="40" spans="1:10" x14ac:dyDescent="0.25">
      <c r="A40" t="str">
        <f>"0000114714"</f>
        <v>0000114714</v>
      </c>
      <c r="B40" t="str">
        <f>"0001104903"</f>
        <v>0001104903</v>
      </c>
      <c r="C40" t="str">
        <f t="shared" si="11"/>
        <v xml:space="preserve">TR40/24 </v>
      </c>
      <c r="D40" t="str">
        <f>"23"</f>
        <v>23</v>
      </c>
      <c r="E40">
        <v>22.317</v>
      </c>
      <c r="F40">
        <v>2639</v>
      </c>
      <c r="G40" t="str">
        <f>"1031815534"</f>
        <v>1031815534</v>
      </c>
      <c r="H40" t="str">
        <f t="shared" si="1"/>
        <v>2025-11-29</v>
      </c>
      <c r="I40" t="str">
        <f>"2511297894"</f>
        <v>2511297894</v>
      </c>
      <c r="J40" t="str">
        <f t="shared" si="2"/>
        <v>DELIVERED</v>
      </c>
    </row>
    <row r="41" spans="1:10" x14ac:dyDescent="0.25">
      <c r="A41" t="str">
        <f>"0000114731"</f>
        <v>0000114731</v>
      </c>
      <c r="B41" t="str">
        <f>"0001102806"</f>
        <v>0001102806</v>
      </c>
      <c r="C41" t="str">
        <f t="shared" si="11"/>
        <v xml:space="preserve">TR40/24 </v>
      </c>
      <c r="D41" t="str">
        <f>"46"</f>
        <v>46</v>
      </c>
      <c r="E41">
        <v>7.0860000000000003</v>
      </c>
      <c r="F41">
        <v>5000</v>
      </c>
      <c r="G41" t="str">
        <f>"1031809626"</f>
        <v>1031809626</v>
      </c>
      <c r="H41" t="str">
        <f t="shared" si="1"/>
        <v>2025-11-29</v>
      </c>
      <c r="I41" t="str">
        <f>"2511297863"</f>
        <v>2511297863</v>
      </c>
      <c r="J41" t="str">
        <f t="shared" si="2"/>
        <v>DELIVERED</v>
      </c>
    </row>
    <row r="42" spans="1:10" x14ac:dyDescent="0.25">
      <c r="A42" t="str">
        <f>"0000114793"</f>
        <v>0000114793</v>
      </c>
      <c r="B42" t="str">
        <f>"0001101481"</f>
        <v>0001101481</v>
      </c>
      <c r="C42" t="str">
        <f t="shared" si="11"/>
        <v xml:space="preserve">TR40/24 </v>
      </c>
      <c r="D42" t="str">
        <f>"24"</f>
        <v>24</v>
      </c>
      <c r="E42">
        <v>6.7729999999999997</v>
      </c>
      <c r="F42">
        <v>136</v>
      </c>
      <c r="G42" t="str">
        <f>"1031813700"</f>
        <v>1031813700</v>
      </c>
      <c r="H42" t="str">
        <f t="shared" si="1"/>
        <v>2025-11-29</v>
      </c>
      <c r="I42" t="str">
        <f>"2511307388"</f>
        <v>2511307388</v>
      </c>
      <c r="J42" t="str">
        <f t="shared" si="2"/>
        <v>DELIVERED</v>
      </c>
    </row>
    <row r="43" spans="1:10" x14ac:dyDescent="0.25">
      <c r="A43" t="str">
        <f>"0000114812"</f>
        <v>0000114812</v>
      </c>
      <c r="B43" t="str">
        <f>"0001104263"</f>
        <v>0001104263</v>
      </c>
      <c r="C43" t="str">
        <f t="shared" si="11"/>
        <v xml:space="preserve">TR40/24 </v>
      </c>
      <c r="D43" t="str">
        <f>"63"</f>
        <v>63</v>
      </c>
      <c r="E43">
        <v>4.0250000000000004</v>
      </c>
      <c r="F43">
        <v>493</v>
      </c>
      <c r="G43" t="str">
        <f>"1031813851"</f>
        <v>1031813851</v>
      </c>
      <c r="H43" t="str">
        <f t="shared" si="1"/>
        <v>2025-11-29</v>
      </c>
      <c r="I43" t="str">
        <f>"2511297917"</f>
        <v>2511297917</v>
      </c>
      <c r="J43" t="str">
        <f t="shared" si="2"/>
        <v>DELIVERED</v>
      </c>
    </row>
    <row r="44" spans="1:10" x14ac:dyDescent="0.25">
      <c r="A44" t="str">
        <f>"0000114812"</f>
        <v>0000114812</v>
      </c>
      <c r="B44" t="str">
        <f>"0001104263"</f>
        <v>0001104263</v>
      </c>
      <c r="C44" t="str">
        <f t="shared" si="11"/>
        <v xml:space="preserve">TR40/24 </v>
      </c>
      <c r="D44" t="str">
        <f>"63"</f>
        <v>63</v>
      </c>
      <c r="E44">
        <v>1.3140000000000001</v>
      </c>
      <c r="F44">
        <v>862</v>
      </c>
      <c r="G44" t="str">
        <f>"1031813862"</f>
        <v>1031813862</v>
      </c>
      <c r="H44" t="str">
        <f t="shared" si="1"/>
        <v>2025-11-29</v>
      </c>
      <c r="I44" t="str">
        <f>"2511297917"</f>
        <v>2511297917</v>
      </c>
      <c r="J44" t="str">
        <f t="shared" si="2"/>
        <v>DELIVERED</v>
      </c>
    </row>
    <row r="45" spans="1:10" x14ac:dyDescent="0.25">
      <c r="A45" t="str">
        <f>"0000114986"</f>
        <v>0000114986</v>
      </c>
      <c r="B45" t="str">
        <f>"0001104923"</f>
        <v>0001104923</v>
      </c>
      <c r="C45" t="str">
        <f t="shared" si="11"/>
        <v xml:space="preserve">TR40/24 </v>
      </c>
      <c r="D45" t="str">
        <f>"46"</f>
        <v>46</v>
      </c>
      <c r="E45">
        <v>14</v>
      </c>
      <c r="F45">
        <v>939</v>
      </c>
      <c r="G45" t="str">
        <f>"1031815258"</f>
        <v>1031815258</v>
      </c>
      <c r="H45" t="str">
        <f t="shared" si="1"/>
        <v>2025-11-29</v>
      </c>
      <c r="I45" t="str">
        <f>"2511298052"</f>
        <v>2511298052</v>
      </c>
      <c r="J45" t="str">
        <f t="shared" si="2"/>
        <v>DELIVERED</v>
      </c>
    </row>
    <row r="46" spans="1:10" x14ac:dyDescent="0.25">
      <c r="A46" t="str">
        <f>"0000115002"</f>
        <v>0000115002</v>
      </c>
      <c r="B46" t="str">
        <f>"0001101431"</f>
        <v>0001101431</v>
      </c>
      <c r="C46" t="str">
        <f t="shared" si="11"/>
        <v xml:space="preserve">TR40/24 </v>
      </c>
      <c r="D46" t="str">
        <f>"63"</f>
        <v>63</v>
      </c>
      <c r="E46">
        <v>19.998999999999999</v>
      </c>
      <c r="F46">
        <v>4665</v>
      </c>
      <c r="G46" t="str">
        <f>"1031814572"</f>
        <v>1031814572</v>
      </c>
      <c r="H46" t="str">
        <f t="shared" si="1"/>
        <v>2025-11-29</v>
      </c>
      <c r="I46" t="str">
        <f>"2511287280"</f>
        <v>2511287280</v>
      </c>
      <c r="J46" t="str">
        <f t="shared" si="2"/>
        <v>DELIVERED</v>
      </c>
    </row>
    <row r="47" spans="1:10" x14ac:dyDescent="0.25">
      <c r="A47" t="str">
        <f>"0000115002"</f>
        <v>0000115002</v>
      </c>
      <c r="B47" t="str">
        <f>"0001101431"</f>
        <v>0001101431</v>
      </c>
      <c r="C47" t="str">
        <f t="shared" si="11"/>
        <v xml:space="preserve">TR40/24 </v>
      </c>
      <c r="D47" t="str">
        <f>"63"</f>
        <v>63</v>
      </c>
      <c r="E47">
        <v>20.006</v>
      </c>
      <c r="F47">
        <v>1912</v>
      </c>
      <c r="G47" t="str">
        <f>"1031814607"</f>
        <v>1031814607</v>
      </c>
      <c r="H47" t="str">
        <f t="shared" si="1"/>
        <v>2025-11-29</v>
      </c>
      <c r="I47" t="str">
        <f>"2511287282"</f>
        <v>2511287282</v>
      </c>
      <c r="J47" t="str">
        <f t="shared" si="2"/>
        <v>DELIVERED</v>
      </c>
    </row>
    <row r="48" spans="1:10" x14ac:dyDescent="0.25">
      <c r="A48" t="str">
        <f>"0000112035"</f>
        <v>0000112035</v>
      </c>
      <c r="B48" t="str">
        <f>"0001101688"</f>
        <v>0001101688</v>
      </c>
      <c r="C48" t="str">
        <f t="shared" si="11"/>
        <v xml:space="preserve">TR40/24 </v>
      </c>
      <c r="D48" t="str">
        <f>"57"</f>
        <v>57</v>
      </c>
      <c r="E48">
        <v>292.91699999999997</v>
      </c>
      <c r="F48">
        <v>514</v>
      </c>
      <c r="G48" t="str">
        <f>"1031810136"</f>
        <v>1031810136</v>
      </c>
      <c r="H48" t="str">
        <f t="shared" ref="H48:H79" si="12">"2025-11-30"</f>
        <v>2025-11-30</v>
      </c>
      <c r="I48" t="str">
        <f>"2511297234"</f>
        <v>2511297234</v>
      </c>
      <c r="J48" t="str">
        <f t="shared" si="2"/>
        <v>DELIVERED</v>
      </c>
    </row>
    <row r="49" spans="1:10" x14ac:dyDescent="0.25">
      <c r="A49" t="str">
        <f>"0000112035"</f>
        <v>0000112035</v>
      </c>
      <c r="B49" t="str">
        <f>"0001101688"</f>
        <v>0001101688</v>
      </c>
      <c r="C49" t="str">
        <f t="shared" si="11"/>
        <v xml:space="preserve">TR40/24 </v>
      </c>
      <c r="D49" t="str">
        <f>"57"</f>
        <v>57</v>
      </c>
      <c r="E49">
        <v>1513.5930000000001</v>
      </c>
      <c r="F49">
        <v>2058</v>
      </c>
      <c r="G49" t="str">
        <f>"1031810152"</f>
        <v>1031810152</v>
      </c>
      <c r="H49" t="str">
        <f t="shared" si="12"/>
        <v>2025-11-30</v>
      </c>
      <c r="I49" t="str">
        <f>"2511308075"</f>
        <v>2511308075</v>
      </c>
      <c r="J49" t="str">
        <f t="shared" si="2"/>
        <v>DELIVERED</v>
      </c>
    </row>
    <row r="50" spans="1:10" x14ac:dyDescent="0.25">
      <c r="A50" t="str">
        <f>"0000112035"</f>
        <v>0000112035</v>
      </c>
      <c r="B50" t="str">
        <f>"0001101688"</f>
        <v>0001101688</v>
      </c>
      <c r="C50" t="str">
        <f t="shared" si="11"/>
        <v xml:space="preserve">TR40/24 </v>
      </c>
      <c r="D50" t="str">
        <f>"57"</f>
        <v>57</v>
      </c>
      <c r="E50">
        <v>8.0749999999999993</v>
      </c>
      <c r="F50">
        <v>3986</v>
      </c>
      <c r="G50" t="str">
        <f>"1031810306"</f>
        <v>1031810306</v>
      </c>
      <c r="H50" t="str">
        <f t="shared" si="12"/>
        <v>2025-11-30</v>
      </c>
      <c r="I50" t="str">
        <f>"2511308112"</f>
        <v>2511308112</v>
      </c>
      <c r="J50" t="str">
        <f t="shared" si="2"/>
        <v>DELIVERED</v>
      </c>
    </row>
    <row r="51" spans="1:10" x14ac:dyDescent="0.25">
      <c r="A51" t="str">
        <f>"0000112035"</f>
        <v>0000112035</v>
      </c>
      <c r="B51" t="str">
        <f>"0001101688"</f>
        <v>0001101688</v>
      </c>
      <c r="C51" t="str">
        <f t="shared" si="11"/>
        <v xml:space="preserve">TR40/24 </v>
      </c>
      <c r="D51" t="str">
        <f>"57"</f>
        <v>57</v>
      </c>
      <c r="E51">
        <v>406.00099999999998</v>
      </c>
      <c r="F51">
        <v>532</v>
      </c>
      <c r="G51" t="str">
        <f>"1031813764"</f>
        <v>1031813764</v>
      </c>
      <c r="H51" t="str">
        <f t="shared" si="12"/>
        <v>2025-11-30</v>
      </c>
      <c r="I51" t="str">
        <f>"2511308088"</f>
        <v>2511308088</v>
      </c>
      <c r="J51" t="str">
        <f t="shared" si="2"/>
        <v>DELIVERED</v>
      </c>
    </row>
    <row r="52" spans="1:10" x14ac:dyDescent="0.25">
      <c r="A52" t="str">
        <f>"0000112035"</f>
        <v>0000112035</v>
      </c>
      <c r="B52" t="str">
        <f>"0001101688"</f>
        <v>0001101688</v>
      </c>
      <c r="C52" t="str">
        <f t="shared" si="11"/>
        <v xml:space="preserve">TR40/24 </v>
      </c>
      <c r="D52" t="str">
        <f>"57"</f>
        <v>57</v>
      </c>
      <c r="E52">
        <v>135.971</v>
      </c>
      <c r="F52">
        <v>266</v>
      </c>
      <c r="G52" t="str">
        <f>"1031815588"</f>
        <v>1031815588</v>
      </c>
      <c r="H52" t="str">
        <f t="shared" si="12"/>
        <v>2025-11-30</v>
      </c>
      <c r="I52" t="str">
        <f>"2511308089"</f>
        <v>2511308089</v>
      </c>
      <c r="J52" t="str">
        <f t="shared" si="2"/>
        <v>DELIVERED</v>
      </c>
    </row>
    <row r="53" spans="1:10" x14ac:dyDescent="0.25">
      <c r="A53" t="str">
        <f>"0000113074"</f>
        <v>0000113074</v>
      </c>
      <c r="B53" t="str">
        <f>"0001101504"</f>
        <v>0001101504</v>
      </c>
      <c r="C53" t="str">
        <f t="shared" si="11"/>
        <v xml:space="preserve">TR40/24 </v>
      </c>
      <c r="D53" t="str">
        <f>"24"</f>
        <v>24</v>
      </c>
      <c r="E53">
        <v>8.9060000000000006</v>
      </c>
      <c r="F53">
        <v>2499</v>
      </c>
      <c r="G53" t="str">
        <f>"1031814162"</f>
        <v>1031814162</v>
      </c>
      <c r="H53" t="str">
        <f t="shared" si="12"/>
        <v>2025-11-30</v>
      </c>
      <c r="I53" t="str">
        <f>"2511308110"</f>
        <v>2511308110</v>
      </c>
      <c r="J53" t="str">
        <f t="shared" si="2"/>
        <v>DELIVERED</v>
      </c>
    </row>
    <row r="54" spans="1:10" x14ac:dyDescent="0.25">
      <c r="A54" t="str">
        <f>"0000113074"</f>
        <v>0000113074</v>
      </c>
      <c r="B54" t="str">
        <f>"0001101504"</f>
        <v>0001101504</v>
      </c>
      <c r="C54" t="str">
        <f t="shared" si="11"/>
        <v xml:space="preserve">TR40/24 </v>
      </c>
      <c r="D54" t="str">
        <f>"24"</f>
        <v>24</v>
      </c>
      <c r="E54">
        <v>154.095</v>
      </c>
      <c r="F54">
        <v>301</v>
      </c>
      <c r="G54" t="str">
        <f>"1031814163"</f>
        <v>1031814163</v>
      </c>
      <c r="H54" t="str">
        <f t="shared" si="12"/>
        <v>2025-11-30</v>
      </c>
      <c r="I54" t="str">
        <f>"2511308110"</f>
        <v>2511308110</v>
      </c>
      <c r="J54" t="str">
        <f t="shared" si="2"/>
        <v>DELIVERED</v>
      </c>
    </row>
    <row r="55" spans="1:10" x14ac:dyDescent="0.25">
      <c r="A55" t="str">
        <f>"0000113450"</f>
        <v>0000113450</v>
      </c>
      <c r="B55" t="str">
        <f>"0001104583"</f>
        <v>0001104583</v>
      </c>
      <c r="C55" t="str">
        <f t="shared" si="11"/>
        <v xml:space="preserve">TR40/24 </v>
      </c>
      <c r="D55" t="str">
        <f>"99"</f>
        <v>99</v>
      </c>
      <c r="E55">
        <v>758.99099999999999</v>
      </c>
      <c r="F55">
        <v>1341</v>
      </c>
      <c r="G55" t="str">
        <f>"1031811401"</f>
        <v>1031811401</v>
      </c>
      <c r="H55" t="str">
        <f t="shared" si="12"/>
        <v>2025-11-30</v>
      </c>
      <c r="I55" t="str">
        <f>"2511308086"</f>
        <v>2511308086</v>
      </c>
      <c r="J55" t="str">
        <f t="shared" si="2"/>
        <v>DELIVERED</v>
      </c>
    </row>
    <row r="56" spans="1:10" x14ac:dyDescent="0.25">
      <c r="A56" t="str">
        <f>"0000113925"</f>
        <v>0000113925</v>
      </c>
      <c r="B56" t="str">
        <f>"0001103664"</f>
        <v>0001103664</v>
      </c>
      <c r="C56" t="str">
        <f t="shared" si="11"/>
        <v xml:space="preserve">TR40/24 </v>
      </c>
      <c r="D56" t="str">
        <f>"56"</f>
        <v>56</v>
      </c>
      <c r="E56">
        <v>1.5680000000000001</v>
      </c>
      <c r="F56">
        <v>310</v>
      </c>
      <c r="G56" t="str">
        <f>"1031807734"</f>
        <v>1031807734</v>
      </c>
      <c r="H56" t="str">
        <f t="shared" si="12"/>
        <v>2025-11-30</v>
      </c>
      <c r="I56" t="str">
        <f>"2511287593"</f>
        <v>2511287593</v>
      </c>
      <c r="J56" t="str">
        <f t="shared" si="2"/>
        <v>DELIVERED</v>
      </c>
    </row>
    <row r="57" spans="1:10" x14ac:dyDescent="0.25">
      <c r="A57" t="str">
        <f>"0000113925"</f>
        <v>0000113925</v>
      </c>
      <c r="B57" t="str">
        <f>"0001103664"</f>
        <v>0001103664</v>
      </c>
      <c r="C57" t="str">
        <f t="shared" si="11"/>
        <v xml:space="preserve">TR40/24 </v>
      </c>
      <c r="D57" t="str">
        <f>"56"</f>
        <v>56</v>
      </c>
      <c r="E57">
        <v>0.56200000000000006</v>
      </c>
      <c r="F57">
        <v>326</v>
      </c>
      <c r="G57" t="str">
        <f>"1031807735"</f>
        <v>1031807735</v>
      </c>
      <c r="H57" t="str">
        <f t="shared" si="12"/>
        <v>2025-11-30</v>
      </c>
      <c r="I57" t="str">
        <f>"2511287593"</f>
        <v>2511287593</v>
      </c>
      <c r="J57" t="str">
        <f t="shared" si="2"/>
        <v>DELIVERED</v>
      </c>
    </row>
    <row r="58" spans="1:10" x14ac:dyDescent="0.25">
      <c r="A58" t="str">
        <f>"0000113925"</f>
        <v>0000113925</v>
      </c>
      <c r="B58" t="str">
        <f>"0001103664"</f>
        <v>0001103664</v>
      </c>
      <c r="C58" t="str">
        <f t="shared" si="11"/>
        <v xml:space="preserve">TR40/24 </v>
      </c>
      <c r="D58" t="str">
        <f>"56"</f>
        <v>56</v>
      </c>
      <c r="E58">
        <v>1.026</v>
      </c>
      <c r="F58">
        <v>92</v>
      </c>
      <c r="G58" t="str">
        <f>"1031807736"</f>
        <v>1031807736</v>
      </c>
      <c r="H58" t="str">
        <f t="shared" si="12"/>
        <v>2025-11-30</v>
      </c>
      <c r="I58" t="str">
        <f>"2511287593"</f>
        <v>2511287593</v>
      </c>
      <c r="J58" t="str">
        <f t="shared" si="2"/>
        <v>DELIVERED</v>
      </c>
    </row>
    <row r="59" spans="1:10" x14ac:dyDescent="0.25">
      <c r="A59" t="str">
        <f>"0000113925"</f>
        <v>0000113925</v>
      </c>
      <c r="B59" t="str">
        <f>"0001103664"</f>
        <v>0001103664</v>
      </c>
      <c r="C59" t="str">
        <f t="shared" si="11"/>
        <v xml:space="preserve">TR40/24 </v>
      </c>
      <c r="D59" t="str">
        <f>"56"</f>
        <v>56</v>
      </c>
      <c r="E59">
        <v>3.8730000000000002</v>
      </c>
      <c r="F59">
        <v>381</v>
      </c>
      <c r="G59" t="str">
        <f>"1031807954"</f>
        <v>1031807954</v>
      </c>
      <c r="H59" t="str">
        <f t="shared" si="12"/>
        <v>2025-11-30</v>
      </c>
      <c r="I59" t="str">
        <f>"2511287593"</f>
        <v>2511287593</v>
      </c>
      <c r="J59" t="str">
        <f t="shared" si="2"/>
        <v>DELIVERED</v>
      </c>
    </row>
    <row r="60" spans="1:10" x14ac:dyDescent="0.25">
      <c r="A60" t="str">
        <f>"0000113925"</f>
        <v>0000113925</v>
      </c>
      <c r="B60" t="str">
        <f>"0001103664"</f>
        <v>0001103664</v>
      </c>
      <c r="C60" t="str">
        <f t="shared" si="11"/>
        <v xml:space="preserve">TR40/24 </v>
      </c>
      <c r="D60" t="str">
        <f>"56"</f>
        <v>56</v>
      </c>
      <c r="E60">
        <v>3.294</v>
      </c>
      <c r="F60">
        <v>1920</v>
      </c>
      <c r="G60" t="str">
        <f>"1031807955"</f>
        <v>1031807955</v>
      </c>
      <c r="H60" t="str">
        <f t="shared" si="12"/>
        <v>2025-11-30</v>
      </c>
      <c r="I60" t="str">
        <f>"2511287593"</f>
        <v>2511287593</v>
      </c>
      <c r="J60" t="str">
        <f t="shared" si="2"/>
        <v>DELIVERED</v>
      </c>
    </row>
    <row r="61" spans="1:10" x14ac:dyDescent="0.25">
      <c r="A61" t="str">
        <f t="shared" ref="A61:A69" si="13">"0000114114"</f>
        <v>0000114114</v>
      </c>
      <c r="B61" t="str">
        <f t="shared" ref="B61:B69" si="14">"0001101798"</f>
        <v>0001101798</v>
      </c>
      <c r="C61" t="str">
        <f t="shared" si="11"/>
        <v xml:space="preserve">TR40/24 </v>
      </c>
      <c r="D61" t="str">
        <f t="shared" ref="D61:D69" si="15">"01"</f>
        <v>01</v>
      </c>
      <c r="E61">
        <v>9.1750000000000007</v>
      </c>
      <c r="F61">
        <v>1132</v>
      </c>
      <c r="G61" t="str">
        <f>"1031814632"</f>
        <v>1031814632</v>
      </c>
      <c r="H61" t="str">
        <f t="shared" si="12"/>
        <v>2025-11-30</v>
      </c>
      <c r="I61" t="str">
        <f>"2511308122"</f>
        <v>2511308122</v>
      </c>
      <c r="J61" t="str">
        <f t="shared" si="2"/>
        <v>DELIVERED</v>
      </c>
    </row>
    <row r="62" spans="1:10" x14ac:dyDescent="0.25">
      <c r="A62" t="str">
        <f t="shared" si="13"/>
        <v>0000114114</v>
      </c>
      <c r="B62" t="str">
        <f t="shared" si="14"/>
        <v>0001101798</v>
      </c>
      <c r="C62" t="str">
        <f t="shared" si="11"/>
        <v xml:space="preserve">TR40/24 </v>
      </c>
      <c r="D62" t="str">
        <f t="shared" si="15"/>
        <v>01</v>
      </c>
      <c r="E62">
        <v>15.333</v>
      </c>
      <c r="F62">
        <v>1796</v>
      </c>
      <c r="G62" t="str">
        <f>"1031814633"</f>
        <v>1031814633</v>
      </c>
      <c r="H62" t="str">
        <f t="shared" si="12"/>
        <v>2025-11-30</v>
      </c>
      <c r="I62" t="str">
        <f>"2511308107"</f>
        <v>2511308107</v>
      </c>
      <c r="J62" t="str">
        <f t="shared" si="2"/>
        <v>DELIVERED</v>
      </c>
    </row>
    <row r="63" spans="1:10" x14ac:dyDescent="0.25">
      <c r="A63" t="str">
        <f t="shared" si="13"/>
        <v>0000114114</v>
      </c>
      <c r="B63" t="str">
        <f t="shared" si="14"/>
        <v>0001101798</v>
      </c>
      <c r="C63" t="str">
        <f t="shared" si="11"/>
        <v xml:space="preserve">TR40/24 </v>
      </c>
      <c r="D63" t="str">
        <f t="shared" si="15"/>
        <v>01</v>
      </c>
      <c r="E63">
        <v>13.154</v>
      </c>
      <c r="F63">
        <v>1366</v>
      </c>
      <c r="G63" t="str">
        <f>"1031814634"</f>
        <v>1031814634</v>
      </c>
      <c r="H63" t="str">
        <f t="shared" si="12"/>
        <v>2025-11-30</v>
      </c>
      <c r="I63" t="str">
        <f>"2511308122"</f>
        <v>2511308122</v>
      </c>
      <c r="J63" t="str">
        <f t="shared" si="2"/>
        <v>DELIVERED</v>
      </c>
    </row>
    <row r="64" spans="1:10" x14ac:dyDescent="0.25">
      <c r="A64" t="str">
        <f t="shared" si="13"/>
        <v>0000114114</v>
      </c>
      <c r="B64" t="str">
        <f t="shared" si="14"/>
        <v>0001101798</v>
      </c>
      <c r="C64" t="str">
        <f t="shared" si="11"/>
        <v xml:space="preserve">TR40/24 </v>
      </c>
      <c r="D64" t="str">
        <f t="shared" si="15"/>
        <v>01</v>
      </c>
      <c r="E64">
        <v>0.15</v>
      </c>
      <c r="F64">
        <v>30</v>
      </c>
      <c r="G64" t="str">
        <f>"1031814635"</f>
        <v>1031814635</v>
      </c>
      <c r="H64" t="str">
        <f t="shared" si="12"/>
        <v>2025-11-30</v>
      </c>
      <c r="I64" t="str">
        <f t="shared" ref="I64:I69" si="16">"2511308107"</f>
        <v>2511308107</v>
      </c>
      <c r="J64" t="str">
        <f t="shared" si="2"/>
        <v>DELIVERED</v>
      </c>
    </row>
    <row r="65" spans="1:10" x14ac:dyDescent="0.25">
      <c r="A65" t="str">
        <f t="shared" si="13"/>
        <v>0000114114</v>
      </c>
      <c r="B65" t="str">
        <f t="shared" si="14"/>
        <v>0001101798</v>
      </c>
      <c r="C65" t="str">
        <f t="shared" si="11"/>
        <v xml:space="preserve">TR40/24 </v>
      </c>
      <c r="D65" t="str">
        <f t="shared" si="15"/>
        <v>01</v>
      </c>
      <c r="E65">
        <v>0.13900000000000001</v>
      </c>
      <c r="F65">
        <v>25</v>
      </c>
      <c r="G65" t="str">
        <f>"1031814636"</f>
        <v>1031814636</v>
      </c>
      <c r="H65" t="str">
        <f t="shared" si="12"/>
        <v>2025-11-30</v>
      </c>
      <c r="I65" t="str">
        <f t="shared" si="16"/>
        <v>2511308107</v>
      </c>
      <c r="J65" t="str">
        <f t="shared" si="2"/>
        <v>DELIVERED</v>
      </c>
    </row>
    <row r="66" spans="1:10" x14ac:dyDescent="0.25">
      <c r="A66" t="str">
        <f t="shared" si="13"/>
        <v>0000114114</v>
      </c>
      <c r="B66" t="str">
        <f t="shared" si="14"/>
        <v>0001101798</v>
      </c>
      <c r="C66" t="str">
        <f t="shared" si="11"/>
        <v xml:space="preserve">TR40/24 </v>
      </c>
      <c r="D66" t="str">
        <f t="shared" si="15"/>
        <v>01</v>
      </c>
      <c r="E66">
        <v>54.749000000000002</v>
      </c>
      <c r="F66">
        <v>108</v>
      </c>
      <c r="G66" t="str">
        <f>"1031814909"</f>
        <v>1031814909</v>
      </c>
      <c r="H66" t="str">
        <f t="shared" si="12"/>
        <v>2025-11-30</v>
      </c>
      <c r="I66" t="str">
        <f t="shared" si="16"/>
        <v>2511308107</v>
      </c>
      <c r="J66" t="str">
        <f t="shared" ref="J66:J129" si="17">"DELIVERED"</f>
        <v>DELIVERED</v>
      </c>
    </row>
    <row r="67" spans="1:10" x14ac:dyDescent="0.25">
      <c r="A67" t="str">
        <f t="shared" si="13"/>
        <v>0000114114</v>
      </c>
      <c r="B67" t="str">
        <f t="shared" si="14"/>
        <v>0001101798</v>
      </c>
      <c r="C67" t="str">
        <f t="shared" si="11"/>
        <v xml:space="preserve">TR40/24 </v>
      </c>
      <c r="D67" t="str">
        <f t="shared" si="15"/>
        <v>01</v>
      </c>
      <c r="E67">
        <v>4.4180000000000001</v>
      </c>
      <c r="F67">
        <v>505</v>
      </c>
      <c r="G67" t="str">
        <f>"1031814910"</f>
        <v>1031814910</v>
      </c>
      <c r="H67" t="str">
        <f t="shared" si="12"/>
        <v>2025-11-30</v>
      </c>
      <c r="I67" t="str">
        <f t="shared" si="16"/>
        <v>2511308107</v>
      </c>
      <c r="J67" t="str">
        <f t="shared" si="17"/>
        <v>DELIVERED</v>
      </c>
    </row>
    <row r="68" spans="1:10" x14ac:dyDescent="0.25">
      <c r="A68" t="str">
        <f t="shared" si="13"/>
        <v>0000114114</v>
      </c>
      <c r="B68" t="str">
        <f t="shared" si="14"/>
        <v>0001101798</v>
      </c>
      <c r="C68" t="str">
        <f t="shared" si="11"/>
        <v xml:space="preserve">TR40/24 </v>
      </c>
      <c r="D68" t="str">
        <f t="shared" si="15"/>
        <v>01</v>
      </c>
      <c r="E68">
        <v>0.56299999999999994</v>
      </c>
      <c r="F68">
        <v>383</v>
      </c>
      <c r="G68" t="str">
        <f>"1031814911"</f>
        <v>1031814911</v>
      </c>
      <c r="H68" t="str">
        <f t="shared" si="12"/>
        <v>2025-11-30</v>
      </c>
      <c r="I68" t="str">
        <f t="shared" si="16"/>
        <v>2511308107</v>
      </c>
      <c r="J68" t="str">
        <f t="shared" si="17"/>
        <v>DELIVERED</v>
      </c>
    </row>
    <row r="69" spans="1:10" x14ac:dyDescent="0.25">
      <c r="A69" t="str">
        <f t="shared" si="13"/>
        <v>0000114114</v>
      </c>
      <c r="B69" t="str">
        <f t="shared" si="14"/>
        <v>0001101798</v>
      </c>
      <c r="C69" t="str">
        <f t="shared" si="11"/>
        <v xml:space="preserve">TR40/24 </v>
      </c>
      <c r="D69" t="str">
        <f t="shared" si="15"/>
        <v>01</v>
      </c>
      <c r="E69">
        <v>0.88100000000000001</v>
      </c>
      <c r="F69">
        <v>132</v>
      </c>
      <c r="G69" t="str">
        <f>"1031814913"</f>
        <v>1031814913</v>
      </c>
      <c r="H69" t="str">
        <f t="shared" si="12"/>
        <v>2025-11-30</v>
      </c>
      <c r="I69" t="str">
        <f t="shared" si="16"/>
        <v>2511308107</v>
      </c>
      <c r="J69" t="str">
        <f t="shared" si="17"/>
        <v>DELIVERED</v>
      </c>
    </row>
    <row r="70" spans="1:10" x14ac:dyDescent="0.25">
      <c r="A70" t="str">
        <f>"0000114192"</f>
        <v>0000114192</v>
      </c>
      <c r="B70" t="str">
        <f>"0001101504"</f>
        <v>0001101504</v>
      </c>
      <c r="C70" t="str">
        <f t="shared" ref="C70:C104" si="18">"TR40/24 "</f>
        <v xml:space="preserve">TR40/24 </v>
      </c>
      <c r="D70" t="str">
        <f>"58"</f>
        <v>58</v>
      </c>
      <c r="E70">
        <v>20.254999999999999</v>
      </c>
      <c r="F70">
        <v>566</v>
      </c>
      <c r="G70" t="str">
        <f>"1031814895"</f>
        <v>1031814895</v>
      </c>
      <c r="H70" t="str">
        <f t="shared" si="12"/>
        <v>2025-11-30</v>
      </c>
      <c r="I70" t="str">
        <f>"2511308108"</f>
        <v>2511308108</v>
      </c>
      <c r="J70" t="str">
        <f t="shared" si="17"/>
        <v>DELIVERED</v>
      </c>
    </row>
    <row r="71" spans="1:10" x14ac:dyDescent="0.25">
      <c r="A71" t="str">
        <f>"0000114225"</f>
        <v>0000114225</v>
      </c>
      <c r="B71" t="str">
        <f>"0001101382"</f>
        <v>0001101382</v>
      </c>
      <c r="C71" t="str">
        <f t="shared" si="18"/>
        <v xml:space="preserve">TR40/24 </v>
      </c>
      <c r="D71" t="str">
        <f>"99"</f>
        <v>99</v>
      </c>
      <c r="E71">
        <v>6.7149999999999999</v>
      </c>
      <c r="F71">
        <v>783</v>
      </c>
      <c r="G71" t="str">
        <f>"1031808934"</f>
        <v>1031808934</v>
      </c>
      <c r="H71" t="str">
        <f t="shared" si="12"/>
        <v>2025-11-30</v>
      </c>
      <c r="I71" t="str">
        <f>"2511308191"</f>
        <v>2511308191</v>
      </c>
      <c r="J71" t="str">
        <f t="shared" si="17"/>
        <v>DELIVERED</v>
      </c>
    </row>
    <row r="72" spans="1:10" x14ac:dyDescent="0.25">
      <c r="A72" t="str">
        <f>"0000114225"</f>
        <v>0000114225</v>
      </c>
      <c r="B72" t="str">
        <f>"0001101382"</f>
        <v>0001101382</v>
      </c>
      <c r="C72" t="str">
        <f t="shared" si="18"/>
        <v xml:space="preserve">TR40/24 </v>
      </c>
      <c r="D72" t="str">
        <f>"99"</f>
        <v>99</v>
      </c>
      <c r="E72">
        <v>9.1020000000000003</v>
      </c>
      <c r="F72">
        <v>1036</v>
      </c>
      <c r="G72" t="str">
        <f>"1031809666"</f>
        <v>1031809666</v>
      </c>
      <c r="H72" t="str">
        <f t="shared" si="12"/>
        <v>2025-11-30</v>
      </c>
      <c r="I72" t="str">
        <f>"2511308191"</f>
        <v>2511308191</v>
      </c>
      <c r="J72" t="str">
        <f t="shared" si="17"/>
        <v>DELIVERED</v>
      </c>
    </row>
    <row r="73" spans="1:10" x14ac:dyDescent="0.25">
      <c r="A73" t="str">
        <f>"0000114268"</f>
        <v>0000114268</v>
      </c>
      <c r="B73" t="str">
        <f>"0001101263"</f>
        <v>0001101263</v>
      </c>
      <c r="C73" t="str">
        <f t="shared" si="18"/>
        <v xml:space="preserve">TR40/24 </v>
      </c>
      <c r="D73" t="str">
        <f>"99"</f>
        <v>99</v>
      </c>
      <c r="E73">
        <v>15.353999999999999</v>
      </c>
      <c r="F73">
        <v>1423</v>
      </c>
      <c r="G73" t="str">
        <f>"1031814420"</f>
        <v>1031814420</v>
      </c>
      <c r="H73" t="str">
        <f t="shared" si="12"/>
        <v>2025-11-30</v>
      </c>
      <c r="I73" t="str">
        <f>"2511307972"</f>
        <v>2511307972</v>
      </c>
      <c r="J73" t="str">
        <f t="shared" si="17"/>
        <v>DELIVERED</v>
      </c>
    </row>
    <row r="74" spans="1:10" x14ac:dyDescent="0.25">
      <c r="A74" t="str">
        <f>"0000114323"</f>
        <v>0000114323</v>
      </c>
      <c r="B74" t="str">
        <f>"0001102757"</f>
        <v>0001102757</v>
      </c>
      <c r="C74" t="str">
        <f t="shared" si="18"/>
        <v xml:space="preserve">TR40/24 </v>
      </c>
      <c r="D74" t="str">
        <f>"73"</f>
        <v>73</v>
      </c>
      <c r="E74">
        <v>9.3000000000000007</v>
      </c>
      <c r="F74">
        <v>1475</v>
      </c>
      <c r="G74" t="str">
        <f>"1031804364"</f>
        <v>1031804364</v>
      </c>
      <c r="H74" t="str">
        <f t="shared" si="12"/>
        <v>2025-11-30</v>
      </c>
      <c r="I74" t="str">
        <f>"2511308104"</f>
        <v>2511308104</v>
      </c>
      <c r="J74" t="str">
        <f t="shared" si="17"/>
        <v>DELIVERED</v>
      </c>
    </row>
    <row r="75" spans="1:10" x14ac:dyDescent="0.25">
      <c r="A75" t="str">
        <f>"0000114323"</f>
        <v>0000114323</v>
      </c>
      <c r="B75" t="str">
        <f>"0001102757"</f>
        <v>0001102757</v>
      </c>
      <c r="C75" t="str">
        <f t="shared" si="18"/>
        <v xml:space="preserve">TR40/24 </v>
      </c>
      <c r="D75" t="str">
        <f>"73"</f>
        <v>73</v>
      </c>
      <c r="E75">
        <v>199.791</v>
      </c>
      <c r="F75">
        <v>330</v>
      </c>
      <c r="G75" t="str">
        <f>"1031804365"</f>
        <v>1031804365</v>
      </c>
      <c r="H75" t="str">
        <f t="shared" si="12"/>
        <v>2025-11-30</v>
      </c>
      <c r="I75" t="str">
        <f>"2511308104"</f>
        <v>2511308104</v>
      </c>
      <c r="J75" t="str">
        <f t="shared" si="17"/>
        <v>DELIVERED</v>
      </c>
    </row>
    <row r="76" spans="1:10" x14ac:dyDescent="0.25">
      <c r="A76" t="str">
        <f>"0000114323"</f>
        <v>0000114323</v>
      </c>
      <c r="B76" t="str">
        <f>"0001102757"</f>
        <v>0001102757</v>
      </c>
      <c r="C76" t="str">
        <f t="shared" si="18"/>
        <v xml:space="preserve">TR40/24 </v>
      </c>
      <c r="D76" t="str">
        <f>"73"</f>
        <v>73</v>
      </c>
      <c r="E76">
        <v>7.1479999999999997</v>
      </c>
      <c r="F76">
        <v>2698</v>
      </c>
      <c r="G76" t="str">
        <f>"1031804466"</f>
        <v>1031804466</v>
      </c>
      <c r="H76" t="str">
        <f t="shared" si="12"/>
        <v>2025-11-30</v>
      </c>
      <c r="I76" t="str">
        <f>"2511308104"</f>
        <v>2511308104</v>
      </c>
      <c r="J76" t="str">
        <f t="shared" si="17"/>
        <v>DELIVERED</v>
      </c>
    </row>
    <row r="77" spans="1:10" x14ac:dyDescent="0.25">
      <c r="A77" t="str">
        <f>"0000114323"</f>
        <v>0000114323</v>
      </c>
      <c r="B77" t="str">
        <f>"0001102757"</f>
        <v>0001102757</v>
      </c>
      <c r="C77" t="str">
        <f t="shared" si="18"/>
        <v xml:space="preserve">TR40/24 </v>
      </c>
      <c r="D77" t="str">
        <f>"73"</f>
        <v>73</v>
      </c>
      <c r="E77">
        <v>18.091999999999999</v>
      </c>
      <c r="F77">
        <v>30</v>
      </c>
      <c r="G77" t="str">
        <f>"1031804467"</f>
        <v>1031804467</v>
      </c>
      <c r="H77" t="str">
        <f t="shared" si="12"/>
        <v>2025-11-30</v>
      </c>
      <c r="I77" t="str">
        <f>"2511308104"</f>
        <v>2511308104</v>
      </c>
      <c r="J77" t="str">
        <f t="shared" si="17"/>
        <v>DELIVERED</v>
      </c>
    </row>
    <row r="78" spans="1:10" x14ac:dyDescent="0.25">
      <c r="A78" t="str">
        <f>"0000114323"</f>
        <v>0000114323</v>
      </c>
      <c r="B78" t="str">
        <f>"0001102757"</f>
        <v>0001102757</v>
      </c>
      <c r="C78" t="str">
        <f t="shared" si="18"/>
        <v xml:space="preserve">TR40/24 </v>
      </c>
      <c r="D78" t="str">
        <f>"73"</f>
        <v>73</v>
      </c>
      <c r="E78">
        <v>8.8390000000000004</v>
      </c>
      <c r="F78">
        <v>1121</v>
      </c>
      <c r="G78" t="str">
        <f>"1031812696"</f>
        <v>1031812696</v>
      </c>
      <c r="H78" t="str">
        <f t="shared" si="12"/>
        <v>2025-11-30</v>
      </c>
      <c r="I78" t="str">
        <f>"2511308104"</f>
        <v>2511308104</v>
      </c>
      <c r="J78" t="str">
        <f t="shared" si="17"/>
        <v>DELIVERED</v>
      </c>
    </row>
    <row r="79" spans="1:10" x14ac:dyDescent="0.25">
      <c r="A79" t="str">
        <f t="shared" ref="A79:A84" si="19">"0000114392"</f>
        <v>0000114392</v>
      </c>
      <c r="B79" t="str">
        <f t="shared" ref="B79:B84" si="20">"0001102592"</f>
        <v>0001102592</v>
      </c>
      <c r="C79" t="str">
        <f t="shared" si="18"/>
        <v xml:space="preserve">TR40/24 </v>
      </c>
      <c r="D79" t="str">
        <f t="shared" ref="D79:D84" si="21">"01"</f>
        <v>01</v>
      </c>
      <c r="E79">
        <v>12.33</v>
      </c>
      <c r="F79">
        <v>1841</v>
      </c>
      <c r="G79" t="str">
        <f>"1031814357"</f>
        <v>1031814357</v>
      </c>
      <c r="H79" t="str">
        <f t="shared" si="12"/>
        <v>2025-11-30</v>
      </c>
      <c r="I79" t="str">
        <f>"2511308114"</f>
        <v>2511308114</v>
      </c>
      <c r="J79" t="str">
        <f t="shared" si="17"/>
        <v>DELIVERED</v>
      </c>
    </row>
    <row r="80" spans="1:10" x14ac:dyDescent="0.25">
      <c r="A80" t="str">
        <f t="shared" si="19"/>
        <v>0000114392</v>
      </c>
      <c r="B80" t="str">
        <f t="shared" si="20"/>
        <v>0001102592</v>
      </c>
      <c r="C80" t="str">
        <f t="shared" si="18"/>
        <v xml:space="preserve">TR40/24 </v>
      </c>
      <c r="D80" t="str">
        <f t="shared" si="21"/>
        <v>01</v>
      </c>
      <c r="E80">
        <v>508.452</v>
      </c>
      <c r="F80">
        <v>762</v>
      </c>
      <c r="G80" t="str">
        <f>"1031814358"</f>
        <v>1031814358</v>
      </c>
      <c r="H80" t="str">
        <f t="shared" ref="H80:H104" si="22">"2025-11-30"</f>
        <v>2025-11-30</v>
      </c>
      <c r="I80" t="str">
        <f>"2511308114"</f>
        <v>2511308114</v>
      </c>
      <c r="J80" t="str">
        <f t="shared" si="17"/>
        <v>DELIVERED</v>
      </c>
    </row>
    <row r="81" spans="1:10" x14ac:dyDescent="0.25">
      <c r="A81" t="str">
        <f t="shared" si="19"/>
        <v>0000114392</v>
      </c>
      <c r="B81" t="str">
        <f t="shared" si="20"/>
        <v>0001102592</v>
      </c>
      <c r="C81" t="str">
        <f t="shared" si="18"/>
        <v xml:space="preserve">TR40/24 </v>
      </c>
      <c r="D81" t="str">
        <f t="shared" si="21"/>
        <v>01</v>
      </c>
      <c r="E81">
        <v>1142.9580000000001</v>
      </c>
      <c r="F81">
        <v>1710</v>
      </c>
      <c r="G81" t="str">
        <f>"1031815189"</f>
        <v>1031815189</v>
      </c>
      <c r="H81" t="str">
        <f t="shared" si="22"/>
        <v>2025-11-30</v>
      </c>
      <c r="I81" t="str">
        <f>"2511308069"</f>
        <v>2511308069</v>
      </c>
      <c r="J81" t="str">
        <f t="shared" si="17"/>
        <v>DELIVERED</v>
      </c>
    </row>
    <row r="82" spans="1:10" x14ac:dyDescent="0.25">
      <c r="A82" t="str">
        <f t="shared" si="19"/>
        <v>0000114392</v>
      </c>
      <c r="B82" t="str">
        <f t="shared" si="20"/>
        <v>0001102592</v>
      </c>
      <c r="C82" t="str">
        <f t="shared" si="18"/>
        <v xml:space="preserve">TR40/24 </v>
      </c>
      <c r="D82" t="str">
        <f t="shared" si="21"/>
        <v>01</v>
      </c>
      <c r="E82">
        <v>984.41099999999994</v>
      </c>
      <c r="F82">
        <v>1465</v>
      </c>
      <c r="G82" t="str">
        <f>"1031815190"</f>
        <v>1031815190</v>
      </c>
      <c r="H82" t="str">
        <f t="shared" si="22"/>
        <v>2025-11-30</v>
      </c>
      <c r="I82" t="str">
        <f>"2511308069"</f>
        <v>2511308069</v>
      </c>
      <c r="J82" t="str">
        <f t="shared" si="17"/>
        <v>DELIVERED</v>
      </c>
    </row>
    <row r="83" spans="1:10" x14ac:dyDescent="0.25">
      <c r="A83" t="str">
        <f t="shared" si="19"/>
        <v>0000114392</v>
      </c>
      <c r="B83" t="str">
        <f t="shared" si="20"/>
        <v>0001102592</v>
      </c>
      <c r="C83" t="str">
        <f t="shared" si="18"/>
        <v xml:space="preserve">TR40/24 </v>
      </c>
      <c r="D83" t="str">
        <f t="shared" si="21"/>
        <v>01</v>
      </c>
      <c r="E83">
        <v>24.547000000000001</v>
      </c>
      <c r="F83">
        <v>1955</v>
      </c>
      <c r="G83" t="str">
        <f>"1031815585"</f>
        <v>1031815585</v>
      </c>
      <c r="H83" t="str">
        <f t="shared" si="22"/>
        <v>2025-11-30</v>
      </c>
      <c r="I83" t="str">
        <f>"2511308121"</f>
        <v>2511308121</v>
      </c>
      <c r="J83" t="str">
        <f t="shared" si="17"/>
        <v>DELIVERED</v>
      </c>
    </row>
    <row r="84" spans="1:10" x14ac:dyDescent="0.25">
      <c r="A84" t="str">
        <f t="shared" si="19"/>
        <v>0000114392</v>
      </c>
      <c r="B84" t="str">
        <f t="shared" si="20"/>
        <v>0001102592</v>
      </c>
      <c r="C84" t="str">
        <f t="shared" si="18"/>
        <v xml:space="preserve">TR40/24 </v>
      </c>
      <c r="D84" t="str">
        <f t="shared" si="21"/>
        <v>01</v>
      </c>
      <c r="E84">
        <v>3.1E-2</v>
      </c>
      <c r="F84">
        <v>14</v>
      </c>
      <c r="G84" t="str">
        <f>"1031816339"</f>
        <v>1031816339</v>
      </c>
      <c r="H84" t="str">
        <f t="shared" si="22"/>
        <v>2025-11-30</v>
      </c>
      <c r="I84" t="str">
        <f>"2511308114"</f>
        <v>2511308114</v>
      </c>
      <c r="J84" t="str">
        <f t="shared" si="17"/>
        <v>DELIVERED</v>
      </c>
    </row>
    <row r="85" spans="1:10" x14ac:dyDescent="0.25">
      <c r="A85" t="str">
        <f>"0000114459"</f>
        <v>0000114459</v>
      </c>
      <c r="B85" t="str">
        <f>"0001101481"</f>
        <v>0001101481</v>
      </c>
      <c r="C85" t="str">
        <f t="shared" si="18"/>
        <v xml:space="preserve">TR40/24 </v>
      </c>
      <c r="D85" t="str">
        <f>"04"</f>
        <v>04</v>
      </c>
      <c r="E85">
        <v>1.827</v>
      </c>
      <c r="F85">
        <v>96</v>
      </c>
      <c r="G85" t="str">
        <f>"1031814416"</f>
        <v>1031814416</v>
      </c>
      <c r="H85" t="str">
        <f t="shared" si="22"/>
        <v>2025-11-30</v>
      </c>
      <c r="I85" t="str">
        <f>"2511308113"</f>
        <v>2511308113</v>
      </c>
      <c r="J85" t="str">
        <f t="shared" si="17"/>
        <v>DELIVERED</v>
      </c>
    </row>
    <row r="86" spans="1:10" x14ac:dyDescent="0.25">
      <c r="A86" t="str">
        <f>"0000114459"</f>
        <v>0000114459</v>
      </c>
      <c r="B86" t="str">
        <f>"0001101481"</f>
        <v>0001101481</v>
      </c>
      <c r="C86" t="str">
        <f t="shared" si="18"/>
        <v xml:space="preserve">TR40/24 </v>
      </c>
      <c r="D86" t="str">
        <f>"04"</f>
        <v>04</v>
      </c>
      <c r="E86">
        <v>421.92</v>
      </c>
      <c r="F86">
        <v>560</v>
      </c>
      <c r="G86" t="str">
        <f>"1031814444"</f>
        <v>1031814444</v>
      </c>
      <c r="H86" t="str">
        <f t="shared" si="22"/>
        <v>2025-11-30</v>
      </c>
      <c r="I86" t="str">
        <f>"2511308113"</f>
        <v>2511308113</v>
      </c>
      <c r="J86" t="str">
        <f t="shared" si="17"/>
        <v>DELIVERED</v>
      </c>
    </row>
    <row r="87" spans="1:10" x14ac:dyDescent="0.25">
      <c r="A87" t="str">
        <f>"0000114459"</f>
        <v>0000114459</v>
      </c>
      <c r="B87" t="str">
        <f>"0001101481"</f>
        <v>0001101481</v>
      </c>
      <c r="C87" t="str">
        <f t="shared" si="18"/>
        <v xml:space="preserve">TR40/24 </v>
      </c>
      <c r="D87" t="str">
        <f>"04"</f>
        <v>04</v>
      </c>
      <c r="E87">
        <v>5.96</v>
      </c>
      <c r="F87">
        <v>1003</v>
      </c>
      <c r="G87" t="str">
        <f>"1031814454"</f>
        <v>1031814454</v>
      </c>
      <c r="H87" t="str">
        <f t="shared" si="22"/>
        <v>2025-11-30</v>
      </c>
      <c r="I87" t="str">
        <f>"2511308113"</f>
        <v>2511308113</v>
      </c>
      <c r="J87" t="str">
        <f t="shared" si="17"/>
        <v>DELIVERED</v>
      </c>
    </row>
    <row r="88" spans="1:10" x14ac:dyDescent="0.25">
      <c r="A88" t="str">
        <f>"0000114459"</f>
        <v>0000114459</v>
      </c>
      <c r="B88" t="str">
        <f>"0001101481"</f>
        <v>0001101481</v>
      </c>
      <c r="C88" t="str">
        <f t="shared" si="18"/>
        <v xml:space="preserve">TR40/24 </v>
      </c>
      <c r="D88" t="str">
        <f>"04"</f>
        <v>04</v>
      </c>
      <c r="E88">
        <v>3.6179999999999999</v>
      </c>
      <c r="F88">
        <v>2020</v>
      </c>
      <c r="G88" t="str">
        <f>"1031815979"</f>
        <v>1031815979</v>
      </c>
      <c r="H88" t="str">
        <f t="shared" si="22"/>
        <v>2025-11-30</v>
      </c>
      <c r="I88" t="str">
        <f>"2511308113"</f>
        <v>2511308113</v>
      </c>
      <c r="J88" t="str">
        <f t="shared" si="17"/>
        <v>DELIVERED</v>
      </c>
    </row>
    <row r="89" spans="1:10" x14ac:dyDescent="0.25">
      <c r="A89" t="str">
        <f t="shared" ref="A89:A95" si="23">"0000114749"</f>
        <v>0000114749</v>
      </c>
      <c r="B89" t="str">
        <f t="shared" ref="B89:B95" si="24">"0001104909"</f>
        <v>0001104909</v>
      </c>
      <c r="C89" t="str">
        <f t="shared" si="18"/>
        <v xml:space="preserve">TR40/24 </v>
      </c>
      <c r="D89" t="str">
        <f t="shared" ref="D89:D95" si="25">"50"</f>
        <v>50</v>
      </c>
      <c r="E89">
        <v>7.8179999999999996</v>
      </c>
      <c r="F89">
        <v>2253</v>
      </c>
      <c r="G89" t="str">
        <f>"1031814455"</f>
        <v>1031814455</v>
      </c>
      <c r="H89" t="str">
        <f t="shared" si="22"/>
        <v>2025-11-30</v>
      </c>
      <c r="I89" t="str">
        <f>"2511307667"</f>
        <v>2511307667</v>
      </c>
      <c r="J89" t="str">
        <f t="shared" si="17"/>
        <v>DELIVERED</v>
      </c>
    </row>
    <row r="90" spans="1:10" x14ac:dyDescent="0.25">
      <c r="A90" t="str">
        <f t="shared" si="23"/>
        <v>0000114749</v>
      </c>
      <c r="B90" t="str">
        <f t="shared" si="24"/>
        <v>0001104909</v>
      </c>
      <c r="C90" t="str">
        <f t="shared" si="18"/>
        <v xml:space="preserve">TR40/24 </v>
      </c>
      <c r="D90" t="str">
        <f t="shared" si="25"/>
        <v>50</v>
      </c>
      <c r="E90">
        <v>6.9000000000000006E-2</v>
      </c>
      <c r="F90">
        <v>45</v>
      </c>
      <c r="G90" t="str">
        <f>"1031814740"</f>
        <v>1031814740</v>
      </c>
      <c r="H90" t="str">
        <f t="shared" si="22"/>
        <v>2025-11-30</v>
      </c>
      <c r="I90" t="str">
        <f>"2511307670"</f>
        <v>2511307670</v>
      </c>
      <c r="J90" t="str">
        <f t="shared" si="17"/>
        <v>DELIVERED</v>
      </c>
    </row>
    <row r="91" spans="1:10" x14ac:dyDescent="0.25">
      <c r="A91" t="str">
        <f t="shared" si="23"/>
        <v>0000114749</v>
      </c>
      <c r="B91" t="str">
        <f t="shared" si="24"/>
        <v>0001104909</v>
      </c>
      <c r="C91" t="str">
        <f t="shared" si="18"/>
        <v xml:space="preserve">TR40/24 </v>
      </c>
      <c r="D91" t="str">
        <f t="shared" si="25"/>
        <v>50</v>
      </c>
      <c r="E91">
        <v>13.429</v>
      </c>
      <c r="F91">
        <v>1907</v>
      </c>
      <c r="G91" t="str">
        <f>"1031814749"</f>
        <v>1031814749</v>
      </c>
      <c r="H91" t="str">
        <f t="shared" si="22"/>
        <v>2025-11-30</v>
      </c>
      <c r="I91" t="str">
        <f>"2511307667"</f>
        <v>2511307667</v>
      </c>
      <c r="J91" t="str">
        <f t="shared" si="17"/>
        <v>DELIVERED</v>
      </c>
    </row>
    <row r="92" spans="1:10" x14ac:dyDescent="0.25">
      <c r="A92" t="str">
        <f t="shared" si="23"/>
        <v>0000114749</v>
      </c>
      <c r="B92" t="str">
        <f t="shared" si="24"/>
        <v>0001104909</v>
      </c>
      <c r="C92" t="str">
        <f t="shared" si="18"/>
        <v xml:space="preserve">TR40/24 </v>
      </c>
      <c r="D92" t="str">
        <f t="shared" si="25"/>
        <v>50</v>
      </c>
      <c r="E92">
        <v>12.016</v>
      </c>
      <c r="F92">
        <v>20</v>
      </c>
      <c r="G92" t="str">
        <f>"1031814750"</f>
        <v>1031814750</v>
      </c>
      <c r="H92" t="str">
        <f t="shared" si="22"/>
        <v>2025-11-30</v>
      </c>
      <c r="I92" t="str">
        <f>"2511307670"</f>
        <v>2511307670</v>
      </c>
      <c r="J92" t="str">
        <f t="shared" si="17"/>
        <v>DELIVERED</v>
      </c>
    </row>
    <row r="93" spans="1:10" x14ac:dyDescent="0.25">
      <c r="A93" t="str">
        <f t="shared" si="23"/>
        <v>0000114749</v>
      </c>
      <c r="B93" t="str">
        <f t="shared" si="24"/>
        <v>0001104909</v>
      </c>
      <c r="C93" t="str">
        <f t="shared" si="18"/>
        <v xml:space="preserve">TR40/24 </v>
      </c>
      <c r="D93" t="str">
        <f t="shared" si="25"/>
        <v>50</v>
      </c>
      <c r="E93">
        <v>13.375999999999999</v>
      </c>
      <c r="F93">
        <v>1838</v>
      </c>
      <c r="G93" t="str">
        <f>"1031814854"</f>
        <v>1031814854</v>
      </c>
      <c r="H93" t="str">
        <f t="shared" si="22"/>
        <v>2025-11-30</v>
      </c>
      <c r="I93" t="str">
        <f>"2511307670"</f>
        <v>2511307670</v>
      </c>
      <c r="J93" t="str">
        <f t="shared" si="17"/>
        <v>DELIVERED</v>
      </c>
    </row>
    <row r="94" spans="1:10" x14ac:dyDescent="0.25">
      <c r="A94" t="str">
        <f t="shared" si="23"/>
        <v>0000114749</v>
      </c>
      <c r="B94" t="str">
        <f t="shared" si="24"/>
        <v>0001104909</v>
      </c>
      <c r="C94" t="str">
        <f t="shared" si="18"/>
        <v xml:space="preserve">TR40/24 </v>
      </c>
      <c r="D94" t="str">
        <f t="shared" si="25"/>
        <v>50</v>
      </c>
      <c r="E94">
        <v>11.614000000000001</v>
      </c>
      <c r="F94">
        <v>2937</v>
      </c>
      <c r="G94" t="str">
        <f>"1031814867"</f>
        <v>1031814867</v>
      </c>
      <c r="H94" t="str">
        <f t="shared" si="22"/>
        <v>2025-11-30</v>
      </c>
      <c r="I94" t="str">
        <f>"2511307670"</f>
        <v>2511307670</v>
      </c>
      <c r="J94" t="str">
        <f t="shared" si="17"/>
        <v>DELIVERED</v>
      </c>
    </row>
    <row r="95" spans="1:10" x14ac:dyDescent="0.25">
      <c r="A95" t="str">
        <f t="shared" si="23"/>
        <v>0000114749</v>
      </c>
      <c r="B95" t="str">
        <f t="shared" si="24"/>
        <v>0001104909</v>
      </c>
      <c r="C95" t="str">
        <f t="shared" si="18"/>
        <v xml:space="preserve">TR40/24 </v>
      </c>
      <c r="D95" t="str">
        <f t="shared" si="25"/>
        <v>50</v>
      </c>
      <c r="E95">
        <v>4.6740000000000004</v>
      </c>
      <c r="F95">
        <v>682</v>
      </c>
      <c r="G95" t="str">
        <f>"1031815243"</f>
        <v>1031815243</v>
      </c>
      <c r="H95" t="str">
        <f t="shared" si="22"/>
        <v>2025-11-30</v>
      </c>
      <c r="I95" t="str">
        <f>"2511307667"</f>
        <v>2511307667</v>
      </c>
      <c r="J95" t="str">
        <f t="shared" si="17"/>
        <v>DELIVERED</v>
      </c>
    </row>
    <row r="96" spans="1:10" x14ac:dyDescent="0.25">
      <c r="A96" t="str">
        <f>"0000114793"</f>
        <v>0000114793</v>
      </c>
      <c r="B96" t="str">
        <f>"0001101481"</f>
        <v>0001101481</v>
      </c>
      <c r="C96" t="str">
        <f t="shared" si="18"/>
        <v xml:space="preserve">TR40/24 </v>
      </c>
      <c r="D96" t="str">
        <f>"24"</f>
        <v>24</v>
      </c>
      <c r="E96">
        <v>2.867</v>
      </c>
      <c r="F96">
        <v>1438</v>
      </c>
      <c r="G96" t="str">
        <f>"1031813717"</f>
        <v>1031813717</v>
      </c>
      <c r="H96" t="str">
        <f t="shared" si="22"/>
        <v>2025-11-30</v>
      </c>
      <c r="I96" t="str">
        <f>"2511307389"</f>
        <v>2511307389</v>
      </c>
      <c r="J96" t="str">
        <f t="shared" si="17"/>
        <v>DELIVERED</v>
      </c>
    </row>
    <row r="97" spans="1:10" x14ac:dyDescent="0.25">
      <c r="A97" t="str">
        <f>"0000114793"</f>
        <v>0000114793</v>
      </c>
      <c r="B97" t="str">
        <f>"0001101481"</f>
        <v>0001101481</v>
      </c>
      <c r="C97" t="str">
        <f t="shared" si="18"/>
        <v xml:space="preserve">TR40/24 </v>
      </c>
      <c r="D97" t="str">
        <f>"24"</f>
        <v>24</v>
      </c>
      <c r="E97">
        <v>14.093</v>
      </c>
      <c r="F97">
        <v>286</v>
      </c>
      <c r="G97" t="str">
        <f>"1031813721"</f>
        <v>1031813721</v>
      </c>
      <c r="H97" t="str">
        <f t="shared" si="22"/>
        <v>2025-11-30</v>
      </c>
      <c r="I97" t="str">
        <f>"2511307389"</f>
        <v>2511307389</v>
      </c>
      <c r="J97" t="str">
        <f t="shared" si="17"/>
        <v>DELIVERED</v>
      </c>
    </row>
    <row r="98" spans="1:10" x14ac:dyDescent="0.25">
      <c r="A98" t="str">
        <f>"0000114793"</f>
        <v>0000114793</v>
      </c>
      <c r="B98" t="str">
        <f>"0001101481"</f>
        <v>0001101481</v>
      </c>
      <c r="C98" t="str">
        <f t="shared" si="18"/>
        <v xml:space="preserve">TR40/24 </v>
      </c>
      <c r="D98" t="str">
        <f>"24"</f>
        <v>24</v>
      </c>
      <c r="E98">
        <v>12.298999999999999</v>
      </c>
      <c r="F98">
        <v>252</v>
      </c>
      <c r="G98" t="str">
        <f>"1031813728"</f>
        <v>1031813728</v>
      </c>
      <c r="H98" t="str">
        <f t="shared" si="22"/>
        <v>2025-11-30</v>
      </c>
      <c r="I98" t="str">
        <f>"2511307388"</f>
        <v>2511307388</v>
      </c>
      <c r="J98" t="str">
        <f t="shared" si="17"/>
        <v>DELIVERED</v>
      </c>
    </row>
    <row r="99" spans="1:10" x14ac:dyDescent="0.25">
      <c r="A99" t="str">
        <f t="shared" ref="A99:A104" si="26">"0000114894"</f>
        <v>0000114894</v>
      </c>
      <c r="B99" t="str">
        <f>"0001104958"</f>
        <v>0001104958</v>
      </c>
      <c r="C99" t="str">
        <f t="shared" si="18"/>
        <v xml:space="preserve">TR40/24 </v>
      </c>
      <c r="D99" t="str">
        <f t="shared" ref="D99:D111" si="27">"99"</f>
        <v>99</v>
      </c>
      <c r="E99">
        <v>13.372999999999999</v>
      </c>
      <c r="F99">
        <v>2056</v>
      </c>
      <c r="G99" t="str">
        <f>"1031811586"</f>
        <v>1031811586</v>
      </c>
      <c r="H99" t="str">
        <f t="shared" si="22"/>
        <v>2025-11-30</v>
      </c>
      <c r="I99" t="str">
        <f>"2511308109"</f>
        <v>2511308109</v>
      </c>
      <c r="J99" t="str">
        <f t="shared" si="17"/>
        <v>DELIVERED</v>
      </c>
    </row>
    <row r="100" spans="1:10" x14ac:dyDescent="0.25">
      <c r="A100" t="str">
        <f t="shared" si="26"/>
        <v>0000114894</v>
      </c>
      <c r="B100" t="str">
        <f>"0001104958"</f>
        <v>0001104958</v>
      </c>
      <c r="C100" t="str">
        <f t="shared" si="18"/>
        <v xml:space="preserve">TR40/24 </v>
      </c>
      <c r="D100" t="str">
        <f t="shared" si="27"/>
        <v>99</v>
      </c>
      <c r="E100">
        <v>15.108000000000001</v>
      </c>
      <c r="F100">
        <v>991</v>
      </c>
      <c r="G100" t="str">
        <f>"1031813111"</f>
        <v>1031813111</v>
      </c>
      <c r="H100" t="str">
        <f t="shared" si="22"/>
        <v>2025-11-30</v>
      </c>
      <c r="I100" t="str">
        <f>"2511307382"</f>
        <v>2511307382</v>
      </c>
      <c r="J100" t="str">
        <f t="shared" si="17"/>
        <v>DELIVERED</v>
      </c>
    </row>
    <row r="101" spans="1:10" x14ac:dyDescent="0.25">
      <c r="A101" t="str">
        <f t="shared" si="26"/>
        <v>0000114894</v>
      </c>
      <c r="B101" t="str">
        <f>"0001105001"</f>
        <v>0001105001</v>
      </c>
      <c r="C101" t="str">
        <f t="shared" si="18"/>
        <v xml:space="preserve">TR40/24 </v>
      </c>
      <c r="D101" t="str">
        <f t="shared" si="27"/>
        <v>99</v>
      </c>
      <c r="E101">
        <v>20.978000000000002</v>
      </c>
      <c r="F101">
        <v>1095</v>
      </c>
      <c r="G101" t="str">
        <f>"1031813976"</f>
        <v>1031813976</v>
      </c>
      <c r="H101" t="str">
        <f t="shared" si="22"/>
        <v>2025-11-30</v>
      </c>
      <c r="I101" t="str">
        <f>"2511307386"</f>
        <v>2511307386</v>
      </c>
      <c r="J101" t="str">
        <f t="shared" si="17"/>
        <v>DELIVERED</v>
      </c>
    </row>
    <row r="102" spans="1:10" x14ac:dyDescent="0.25">
      <c r="A102" t="str">
        <f t="shared" si="26"/>
        <v>0000114894</v>
      </c>
      <c r="B102" t="str">
        <f>"0001105001"</f>
        <v>0001105001</v>
      </c>
      <c r="C102" t="str">
        <f t="shared" si="18"/>
        <v xml:space="preserve">TR40/24 </v>
      </c>
      <c r="D102" t="str">
        <f t="shared" si="27"/>
        <v>99</v>
      </c>
      <c r="E102">
        <v>17.241</v>
      </c>
      <c r="F102">
        <v>975</v>
      </c>
      <c r="G102" t="str">
        <f>"1031813977"</f>
        <v>1031813977</v>
      </c>
      <c r="H102" t="str">
        <f t="shared" si="22"/>
        <v>2025-11-30</v>
      </c>
      <c r="I102" t="str">
        <f>"2512017396"</f>
        <v>2512017396</v>
      </c>
      <c r="J102" t="str">
        <f t="shared" si="17"/>
        <v>DELIVERED</v>
      </c>
    </row>
    <row r="103" spans="1:10" x14ac:dyDescent="0.25">
      <c r="A103" t="str">
        <f t="shared" si="26"/>
        <v>0000114894</v>
      </c>
      <c r="B103" t="str">
        <f>"0001105001"</f>
        <v>0001105001</v>
      </c>
      <c r="C103" t="str">
        <f t="shared" si="18"/>
        <v xml:space="preserve">TR40/24 </v>
      </c>
      <c r="D103" t="str">
        <f t="shared" si="27"/>
        <v>99</v>
      </c>
      <c r="E103">
        <v>20.67</v>
      </c>
      <c r="F103">
        <v>966</v>
      </c>
      <c r="G103" t="str">
        <f>"1031813982"</f>
        <v>1031813982</v>
      </c>
      <c r="H103" t="str">
        <f t="shared" si="22"/>
        <v>2025-11-30</v>
      </c>
      <c r="I103" t="str">
        <f>"2511297391"</f>
        <v>2511297391</v>
      </c>
      <c r="J103" t="str">
        <f t="shared" si="17"/>
        <v>DELIVERED</v>
      </c>
    </row>
    <row r="104" spans="1:10" x14ac:dyDescent="0.25">
      <c r="A104" t="str">
        <f t="shared" si="26"/>
        <v>0000114894</v>
      </c>
      <c r="B104" t="str">
        <f>"0001105001"</f>
        <v>0001105001</v>
      </c>
      <c r="C104" t="str">
        <f t="shared" si="18"/>
        <v xml:space="preserve">TR40/24 </v>
      </c>
      <c r="D104" t="str">
        <f t="shared" si="27"/>
        <v>99</v>
      </c>
      <c r="E104">
        <v>20.853000000000002</v>
      </c>
      <c r="F104">
        <v>631</v>
      </c>
      <c r="G104" t="str">
        <f>"1031813983"</f>
        <v>1031813983</v>
      </c>
      <c r="H104" t="str">
        <f t="shared" si="22"/>
        <v>2025-11-30</v>
      </c>
      <c r="I104" t="str">
        <f>"2511307393"</f>
        <v>2511307393</v>
      </c>
      <c r="J104" t="str">
        <f t="shared" si="17"/>
        <v>DELIVERED</v>
      </c>
    </row>
    <row r="105" spans="1:10" x14ac:dyDescent="0.25">
      <c r="A105" t="str">
        <f>"0000109650"</f>
        <v>0000109650</v>
      </c>
      <c r="B105" t="str">
        <f t="shared" ref="B105:B111" si="28">"0001103354"</f>
        <v>0001103354</v>
      </c>
      <c r="C105" t="str">
        <f t="shared" ref="C105:C111" si="29">"HC      "</f>
        <v xml:space="preserve">HC      </v>
      </c>
      <c r="D105" t="str">
        <f t="shared" si="27"/>
        <v>99</v>
      </c>
      <c r="E105">
        <v>48.302999999999997</v>
      </c>
      <c r="F105">
        <v>72</v>
      </c>
      <c r="G105" t="str">
        <f>"1031811605"</f>
        <v>1031811605</v>
      </c>
      <c r="H105" t="str">
        <f t="shared" ref="H105:H136" si="30">"2025-12-01"</f>
        <v>2025-12-01</v>
      </c>
      <c r="I105" t="str">
        <f>"2512018861"</f>
        <v>2512018861</v>
      </c>
      <c r="J105" t="str">
        <f t="shared" si="17"/>
        <v>DELIVERED</v>
      </c>
    </row>
    <row r="106" spans="1:10" x14ac:dyDescent="0.25">
      <c r="A106" t="str">
        <f>"0000109650"</f>
        <v>0000109650</v>
      </c>
      <c r="B106" t="str">
        <f t="shared" si="28"/>
        <v>0001103354</v>
      </c>
      <c r="C106" t="str">
        <f t="shared" si="29"/>
        <v xml:space="preserve">HC      </v>
      </c>
      <c r="D106" t="str">
        <f t="shared" si="27"/>
        <v>99</v>
      </c>
      <c r="E106">
        <v>1285.164</v>
      </c>
      <c r="F106">
        <v>1720</v>
      </c>
      <c r="G106" t="str">
        <f>"1031811607"</f>
        <v>1031811607</v>
      </c>
      <c r="H106" t="str">
        <f t="shared" si="30"/>
        <v>2025-12-01</v>
      </c>
      <c r="I106" t="str">
        <f>"2512018861"</f>
        <v>2512018861</v>
      </c>
      <c r="J106" t="str">
        <f t="shared" si="17"/>
        <v>DELIVERED</v>
      </c>
    </row>
    <row r="107" spans="1:10" x14ac:dyDescent="0.25">
      <c r="A107" t="str">
        <f>"0000109854"</f>
        <v>0000109854</v>
      </c>
      <c r="B107" t="str">
        <f t="shared" si="28"/>
        <v>0001103354</v>
      </c>
      <c r="C107" t="str">
        <f t="shared" si="29"/>
        <v xml:space="preserve">HC      </v>
      </c>
      <c r="D107" t="str">
        <f t="shared" si="27"/>
        <v>99</v>
      </c>
      <c r="E107">
        <v>80.521000000000001</v>
      </c>
      <c r="F107">
        <v>120</v>
      </c>
      <c r="G107" t="str">
        <f>"1031811581"</f>
        <v>1031811581</v>
      </c>
      <c r="H107" t="str">
        <f t="shared" si="30"/>
        <v>2025-12-01</v>
      </c>
      <c r="I107" t="str">
        <f>"2512018861"</f>
        <v>2512018861</v>
      </c>
      <c r="J107" t="str">
        <f t="shared" si="17"/>
        <v>DELIVERED</v>
      </c>
    </row>
    <row r="108" spans="1:10" x14ac:dyDescent="0.25">
      <c r="A108" t="str">
        <f>"0000109854"</f>
        <v>0000109854</v>
      </c>
      <c r="B108" t="str">
        <f t="shared" si="28"/>
        <v>0001103354</v>
      </c>
      <c r="C108" t="str">
        <f t="shared" si="29"/>
        <v xml:space="preserve">HC      </v>
      </c>
      <c r="D108" t="str">
        <f t="shared" si="27"/>
        <v>99</v>
      </c>
      <c r="E108">
        <v>1011.598</v>
      </c>
      <c r="F108">
        <v>1368</v>
      </c>
      <c r="G108" t="str">
        <f>"1031811589"</f>
        <v>1031811589</v>
      </c>
      <c r="H108" t="str">
        <f t="shared" si="30"/>
        <v>2025-12-01</v>
      </c>
      <c r="I108" t="str">
        <f>"2512017834"</f>
        <v>2512017834</v>
      </c>
      <c r="J108" t="str">
        <f t="shared" si="17"/>
        <v>DELIVERED</v>
      </c>
    </row>
    <row r="109" spans="1:10" x14ac:dyDescent="0.25">
      <c r="A109" t="str">
        <f>"0000109854"</f>
        <v>0000109854</v>
      </c>
      <c r="B109" t="str">
        <f t="shared" si="28"/>
        <v>0001103354</v>
      </c>
      <c r="C109" t="str">
        <f t="shared" si="29"/>
        <v xml:space="preserve">HC      </v>
      </c>
      <c r="D109" t="str">
        <f t="shared" si="27"/>
        <v>99</v>
      </c>
      <c r="E109">
        <v>866.72699999999998</v>
      </c>
      <c r="F109">
        <v>1152</v>
      </c>
      <c r="G109" t="str">
        <f>"1031811591"</f>
        <v>1031811591</v>
      </c>
      <c r="H109" t="str">
        <f t="shared" si="30"/>
        <v>2025-12-01</v>
      </c>
      <c r="I109" t="str">
        <f>"2512017834"</f>
        <v>2512017834</v>
      </c>
      <c r="J109" t="str">
        <f t="shared" si="17"/>
        <v>DELIVERED</v>
      </c>
    </row>
    <row r="110" spans="1:10" x14ac:dyDescent="0.25">
      <c r="A110" t="str">
        <f>"0000109854"</f>
        <v>0000109854</v>
      </c>
      <c r="B110" t="str">
        <f t="shared" si="28"/>
        <v>0001103354</v>
      </c>
      <c r="C110" t="str">
        <f t="shared" si="29"/>
        <v xml:space="preserve">HC      </v>
      </c>
      <c r="D110" t="str">
        <f t="shared" si="27"/>
        <v>99</v>
      </c>
      <c r="E110">
        <v>866.72699999999998</v>
      </c>
      <c r="F110">
        <v>1152</v>
      </c>
      <c r="G110" t="str">
        <f>"1031811592"</f>
        <v>1031811592</v>
      </c>
      <c r="H110" t="str">
        <f t="shared" si="30"/>
        <v>2025-12-01</v>
      </c>
      <c r="I110" t="str">
        <f>"2512017834"</f>
        <v>2512017834</v>
      </c>
      <c r="J110" t="str">
        <f t="shared" si="17"/>
        <v>DELIVERED</v>
      </c>
    </row>
    <row r="111" spans="1:10" x14ac:dyDescent="0.25">
      <c r="A111" t="str">
        <f>"0000109854"</f>
        <v>0000109854</v>
      </c>
      <c r="B111" t="str">
        <f t="shared" si="28"/>
        <v>0001103354</v>
      </c>
      <c r="C111" t="str">
        <f t="shared" si="29"/>
        <v xml:space="preserve">HC      </v>
      </c>
      <c r="D111" t="str">
        <f t="shared" si="27"/>
        <v>99</v>
      </c>
      <c r="E111">
        <v>866.72699999999998</v>
      </c>
      <c r="F111">
        <v>1152</v>
      </c>
      <c r="G111" t="str">
        <f>"1031811593"</f>
        <v>1031811593</v>
      </c>
      <c r="H111" t="str">
        <f t="shared" si="30"/>
        <v>2025-12-01</v>
      </c>
      <c r="I111" t="str">
        <f>"2512018861"</f>
        <v>2512018861</v>
      </c>
      <c r="J111" t="str">
        <f t="shared" si="17"/>
        <v>DELIVERED</v>
      </c>
    </row>
    <row r="112" spans="1:10" x14ac:dyDescent="0.25">
      <c r="A112" t="str">
        <f>"0000112035"</f>
        <v>0000112035</v>
      </c>
      <c r="B112" t="str">
        <f>"0001101688"</f>
        <v>0001101688</v>
      </c>
      <c r="C112" t="str">
        <f>"TR40/24 "</f>
        <v xml:space="preserve">TR40/24 </v>
      </c>
      <c r="D112" t="str">
        <f>"57"</f>
        <v>57</v>
      </c>
      <c r="E112">
        <v>1080.6410000000001</v>
      </c>
      <c r="F112">
        <v>1646</v>
      </c>
      <c r="G112" t="str">
        <f>"1031813761"</f>
        <v>1031813761</v>
      </c>
      <c r="H112" t="str">
        <f t="shared" si="30"/>
        <v>2025-12-01</v>
      </c>
      <c r="I112" t="str">
        <f>"2512018144"</f>
        <v>2512018144</v>
      </c>
      <c r="J112" t="str">
        <f t="shared" si="17"/>
        <v>DELIVERED</v>
      </c>
    </row>
    <row r="113" spans="1:10" x14ac:dyDescent="0.25">
      <c r="A113" t="str">
        <f>"0000113074"</f>
        <v>0000113074</v>
      </c>
      <c r="B113" t="str">
        <f>"0001101504"</f>
        <v>0001101504</v>
      </c>
      <c r="C113" t="str">
        <f>"TR40/24 "</f>
        <v xml:space="preserve">TR40/24 </v>
      </c>
      <c r="D113" t="str">
        <f>"24"</f>
        <v>24</v>
      </c>
      <c r="E113">
        <v>40.393000000000001</v>
      </c>
      <c r="F113">
        <v>6022</v>
      </c>
      <c r="G113" t="str">
        <f>"1031814173"</f>
        <v>1031814173</v>
      </c>
      <c r="H113" t="str">
        <f t="shared" si="30"/>
        <v>2025-12-01</v>
      </c>
      <c r="I113" t="str">
        <f>"2512017925"</f>
        <v>2512017925</v>
      </c>
      <c r="J113" t="str">
        <f t="shared" si="17"/>
        <v>DELIVERED</v>
      </c>
    </row>
    <row r="114" spans="1:10" x14ac:dyDescent="0.25">
      <c r="A114" t="str">
        <f>"0000113450"</f>
        <v>0000113450</v>
      </c>
      <c r="B114" t="str">
        <f>"0001104583"</f>
        <v>0001104583</v>
      </c>
      <c r="C114" t="str">
        <f>"HC      "</f>
        <v xml:space="preserve">HC      </v>
      </c>
      <c r="D114" t="str">
        <f>"99"</f>
        <v>99</v>
      </c>
      <c r="E114">
        <v>0.92400000000000004</v>
      </c>
      <c r="F114">
        <v>127</v>
      </c>
      <c r="G114" t="str">
        <f>"1031805330"</f>
        <v>1031805330</v>
      </c>
      <c r="H114" t="str">
        <f t="shared" si="30"/>
        <v>2025-12-01</v>
      </c>
      <c r="I114" t="str">
        <f>"2511061577"</f>
        <v>2511061577</v>
      </c>
      <c r="J114" t="str">
        <f t="shared" si="17"/>
        <v>DELIVERED</v>
      </c>
    </row>
    <row r="115" spans="1:10" x14ac:dyDescent="0.25">
      <c r="A115" t="str">
        <f>"0000113450"</f>
        <v>0000113450</v>
      </c>
      <c r="B115" t="str">
        <f>"0001104583"</f>
        <v>0001104583</v>
      </c>
      <c r="C115" t="str">
        <f>"HC      "</f>
        <v xml:space="preserve">HC      </v>
      </c>
      <c r="D115" t="str">
        <f>"99"</f>
        <v>99</v>
      </c>
      <c r="E115">
        <v>382.06599999999997</v>
      </c>
      <c r="F115">
        <v>635</v>
      </c>
      <c r="G115" t="str">
        <f>"1031805331"</f>
        <v>1031805331</v>
      </c>
      <c r="H115" t="str">
        <f t="shared" si="30"/>
        <v>2025-12-01</v>
      </c>
      <c r="I115" t="str">
        <f>"2511061577"</f>
        <v>2511061577</v>
      </c>
      <c r="J115" t="str">
        <f t="shared" si="17"/>
        <v>DELIVERED</v>
      </c>
    </row>
    <row r="116" spans="1:10" x14ac:dyDescent="0.25">
      <c r="A116" t="str">
        <f>"0000113584"</f>
        <v>0000113584</v>
      </c>
      <c r="B116" t="str">
        <f>"0001103017"</f>
        <v>0001103017</v>
      </c>
      <c r="C116" t="str">
        <f>"TR40/24 "</f>
        <v xml:space="preserve">TR40/24 </v>
      </c>
      <c r="D116" t="str">
        <f>"20"</f>
        <v>20</v>
      </c>
      <c r="E116">
        <v>4.2000000000000003E-2</v>
      </c>
      <c r="F116">
        <v>18</v>
      </c>
      <c r="G116" t="str">
        <f>"1031815095"</f>
        <v>1031815095</v>
      </c>
      <c r="H116" t="str">
        <f t="shared" si="30"/>
        <v>2025-12-01</v>
      </c>
      <c r="I116" t="str">
        <f>"2512018614"</f>
        <v>2512018614</v>
      </c>
      <c r="J116" t="str">
        <f t="shared" si="17"/>
        <v>DELIVERED</v>
      </c>
    </row>
    <row r="117" spans="1:10" x14ac:dyDescent="0.25">
      <c r="A117" t="str">
        <f>"0000113591"</f>
        <v>0000113591</v>
      </c>
      <c r="B117" t="str">
        <f>"0001101165"</f>
        <v>0001101165</v>
      </c>
      <c r="C117" t="str">
        <f>"LB30    "</f>
        <v xml:space="preserve">LB30    </v>
      </c>
      <c r="D117" t="str">
        <f>"99"</f>
        <v>99</v>
      </c>
      <c r="E117">
        <v>23.613</v>
      </c>
      <c r="F117">
        <v>600</v>
      </c>
      <c r="G117" t="str">
        <f>"1031807175"</f>
        <v>1031807175</v>
      </c>
      <c r="H117" t="str">
        <f t="shared" si="30"/>
        <v>2025-12-01</v>
      </c>
      <c r="I117" t="str">
        <f>"2511298032"</f>
        <v>2511298032</v>
      </c>
      <c r="J117" t="str">
        <f t="shared" si="17"/>
        <v>DELIVERED</v>
      </c>
    </row>
    <row r="118" spans="1:10" x14ac:dyDescent="0.25">
      <c r="A118" t="str">
        <f>"0000113611"</f>
        <v>0000113611</v>
      </c>
      <c r="B118" t="str">
        <f>"0001101231"</f>
        <v>0001101231</v>
      </c>
      <c r="C118" t="str">
        <f t="shared" ref="C118:C149" si="31">"TR40/24 "</f>
        <v xml:space="preserve">TR40/24 </v>
      </c>
      <c r="D118" t="str">
        <f>"99"</f>
        <v>99</v>
      </c>
      <c r="E118">
        <v>0.96699999999999997</v>
      </c>
      <c r="F118">
        <v>157</v>
      </c>
      <c r="G118" t="str">
        <f>"1031804711"</f>
        <v>1031804711</v>
      </c>
      <c r="H118" t="str">
        <f t="shared" si="30"/>
        <v>2025-12-01</v>
      </c>
      <c r="I118" t="str">
        <f>"2512018211"</f>
        <v>2512018211</v>
      </c>
      <c r="J118" t="str">
        <f t="shared" si="17"/>
        <v>DELIVERED</v>
      </c>
    </row>
    <row r="119" spans="1:10" x14ac:dyDescent="0.25">
      <c r="A119" t="str">
        <f>"0000113611"</f>
        <v>0000113611</v>
      </c>
      <c r="B119" t="str">
        <f>"0001101231"</f>
        <v>0001101231</v>
      </c>
      <c r="C119" t="str">
        <f t="shared" si="31"/>
        <v xml:space="preserve">TR40/24 </v>
      </c>
      <c r="D119" t="str">
        <f>"99"</f>
        <v>99</v>
      </c>
      <c r="E119">
        <v>157.15299999999999</v>
      </c>
      <c r="F119">
        <v>234</v>
      </c>
      <c r="G119" t="str">
        <f>"1031804712"</f>
        <v>1031804712</v>
      </c>
      <c r="H119" t="str">
        <f t="shared" si="30"/>
        <v>2025-12-01</v>
      </c>
      <c r="I119" t="str">
        <f>"2512018351"</f>
        <v>2512018351</v>
      </c>
      <c r="J119" t="str">
        <f t="shared" si="17"/>
        <v>DELIVERED</v>
      </c>
    </row>
    <row r="120" spans="1:10" x14ac:dyDescent="0.25">
      <c r="A120" t="str">
        <f>"0000113611"</f>
        <v>0000113611</v>
      </c>
      <c r="B120" t="str">
        <f>"0001101231"</f>
        <v>0001101231</v>
      </c>
      <c r="C120" t="str">
        <f t="shared" si="31"/>
        <v xml:space="preserve">TR40/24 </v>
      </c>
      <c r="D120" t="str">
        <f>"99"</f>
        <v>99</v>
      </c>
      <c r="E120">
        <v>0.224</v>
      </c>
      <c r="F120">
        <v>130</v>
      </c>
      <c r="G120" t="str">
        <f>"1031816289"</f>
        <v>1031816289</v>
      </c>
      <c r="H120" t="str">
        <f t="shared" si="30"/>
        <v>2025-12-01</v>
      </c>
      <c r="I120" t="str">
        <f>"2512018350"</f>
        <v>2512018350</v>
      </c>
      <c r="J120" t="str">
        <f t="shared" si="17"/>
        <v>DELIVERED</v>
      </c>
    </row>
    <row r="121" spans="1:10" x14ac:dyDescent="0.25">
      <c r="A121" t="str">
        <f>"0000113755"</f>
        <v>0000113755</v>
      </c>
      <c r="B121" t="str">
        <f>"0001101505"</f>
        <v>0001101505</v>
      </c>
      <c r="C121" t="str">
        <f t="shared" si="31"/>
        <v xml:space="preserve">TR40/24 </v>
      </c>
      <c r="D121" t="str">
        <f>"15"</f>
        <v>15</v>
      </c>
      <c r="E121">
        <v>3.044</v>
      </c>
      <c r="F121">
        <v>3091</v>
      </c>
      <c r="G121" t="str">
        <f>"1031815825"</f>
        <v>1031815825</v>
      </c>
      <c r="H121" t="str">
        <f t="shared" si="30"/>
        <v>2025-12-01</v>
      </c>
      <c r="I121" t="str">
        <f>"2512018614"</f>
        <v>2512018614</v>
      </c>
      <c r="J121" t="str">
        <f t="shared" si="17"/>
        <v>DELIVERED</v>
      </c>
    </row>
    <row r="122" spans="1:10" x14ac:dyDescent="0.25">
      <c r="A122" t="str">
        <f>"0000113830"</f>
        <v>0000113830</v>
      </c>
      <c r="B122" t="str">
        <f>"0001102113"</f>
        <v>0001102113</v>
      </c>
      <c r="C122" t="str">
        <f t="shared" si="31"/>
        <v xml:space="preserve">TR40/24 </v>
      </c>
      <c r="D122" t="str">
        <f>"75"</f>
        <v>75</v>
      </c>
      <c r="E122">
        <v>6.1340000000000003</v>
      </c>
      <c r="F122">
        <v>1650</v>
      </c>
      <c r="G122" t="str">
        <f>"1031811955"</f>
        <v>1031811955</v>
      </c>
      <c r="H122" t="str">
        <f t="shared" si="30"/>
        <v>2025-12-01</v>
      </c>
      <c r="I122" t="str">
        <f>"2512018173"</f>
        <v>2512018173</v>
      </c>
      <c r="J122" t="str">
        <f t="shared" si="17"/>
        <v>DELIVERED</v>
      </c>
    </row>
    <row r="123" spans="1:10" x14ac:dyDescent="0.25">
      <c r="A123" t="str">
        <f>"0000113830"</f>
        <v>0000113830</v>
      </c>
      <c r="B123" t="str">
        <f>"0001102113"</f>
        <v>0001102113</v>
      </c>
      <c r="C123" t="str">
        <f t="shared" si="31"/>
        <v xml:space="preserve">TR40/24 </v>
      </c>
      <c r="D123" t="str">
        <f>"75"</f>
        <v>75</v>
      </c>
      <c r="E123">
        <v>1.5620000000000001</v>
      </c>
      <c r="F123">
        <v>466</v>
      </c>
      <c r="G123" t="str">
        <f>"1031811997"</f>
        <v>1031811997</v>
      </c>
      <c r="H123" t="str">
        <f t="shared" si="30"/>
        <v>2025-12-01</v>
      </c>
      <c r="I123" t="str">
        <f>"2512018173"</f>
        <v>2512018173</v>
      </c>
      <c r="J123" t="str">
        <f t="shared" si="17"/>
        <v>DELIVERED</v>
      </c>
    </row>
    <row r="124" spans="1:10" x14ac:dyDescent="0.25">
      <c r="A124" t="str">
        <f>"0000113830"</f>
        <v>0000113830</v>
      </c>
      <c r="B124" t="str">
        <f>"0001102113"</f>
        <v>0001102113</v>
      </c>
      <c r="C124" t="str">
        <f t="shared" si="31"/>
        <v xml:space="preserve">TR40/24 </v>
      </c>
      <c r="D124" t="str">
        <f>"75"</f>
        <v>75</v>
      </c>
      <c r="E124">
        <v>0.185</v>
      </c>
      <c r="F124">
        <v>500</v>
      </c>
      <c r="G124" t="str">
        <f>"1031813430"</f>
        <v>1031813430</v>
      </c>
      <c r="H124" t="str">
        <f t="shared" si="30"/>
        <v>2025-12-01</v>
      </c>
      <c r="I124" t="str">
        <f>"2512018173"</f>
        <v>2512018173</v>
      </c>
      <c r="J124" t="str">
        <f t="shared" si="17"/>
        <v>DELIVERED</v>
      </c>
    </row>
    <row r="125" spans="1:10" x14ac:dyDescent="0.25">
      <c r="A125" t="str">
        <f>"0000113923"</f>
        <v>0000113923</v>
      </c>
      <c r="B125" t="str">
        <f>"0001101172"</f>
        <v>0001101172</v>
      </c>
      <c r="C125" t="str">
        <f t="shared" si="31"/>
        <v xml:space="preserve">TR40/24 </v>
      </c>
      <c r="D125" t="str">
        <f>"13"</f>
        <v>13</v>
      </c>
      <c r="E125">
        <v>5.1440000000000001</v>
      </c>
      <c r="F125">
        <v>1055</v>
      </c>
      <c r="G125" t="str">
        <f>"1031814084"</f>
        <v>1031814084</v>
      </c>
      <c r="H125" t="str">
        <f t="shared" si="30"/>
        <v>2025-12-01</v>
      </c>
      <c r="I125" t="str">
        <f>"2512018200"</f>
        <v>2512018200</v>
      </c>
      <c r="J125" t="str">
        <f t="shared" si="17"/>
        <v>DELIVERED</v>
      </c>
    </row>
    <row r="126" spans="1:10" x14ac:dyDescent="0.25">
      <c r="A126" t="str">
        <f t="shared" ref="A126:A150" si="32">"0000113925"</f>
        <v>0000113925</v>
      </c>
      <c r="B126" t="str">
        <f t="shared" ref="B126:B150" si="33">"0001103664"</f>
        <v>0001103664</v>
      </c>
      <c r="C126" t="str">
        <f t="shared" si="31"/>
        <v xml:space="preserve">TR40/24 </v>
      </c>
      <c r="D126" t="str">
        <f t="shared" ref="D126:D150" si="34">"56"</f>
        <v>56</v>
      </c>
      <c r="E126">
        <v>4.319</v>
      </c>
      <c r="F126">
        <v>320</v>
      </c>
      <c r="G126" t="str">
        <f>"1031800460"</f>
        <v>1031800460</v>
      </c>
      <c r="H126" t="str">
        <f t="shared" si="30"/>
        <v>2025-12-01</v>
      </c>
      <c r="I126" t="str">
        <f t="shared" ref="I126:I131" si="35">"2511287651"</f>
        <v>2511287651</v>
      </c>
      <c r="J126" t="str">
        <f t="shared" si="17"/>
        <v>DELIVERED</v>
      </c>
    </row>
    <row r="127" spans="1:10" x14ac:dyDescent="0.25">
      <c r="A127" t="str">
        <f t="shared" si="32"/>
        <v>0000113925</v>
      </c>
      <c r="B127" t="str">
        <f t="shared" si="33"/>
        <v>0001103664</v>
      </c>
      <c r="C127" t="str">
        <f t="shared" si="31"/>
        <v xml:space="preserve">TR40/24 </v>
      </c>
      <c r="D127" t="str">
        <f t="shared" si="34"/>
        <v>56</v>
      </c>
      <c r="E127">
        <v>2.5390000000000001</v>
      </c>
      <c r="F127">
        <v>314</v>
      </c>
      <c r="G127" t="str">
        <f>"1031800461"</f>
        <v>1031800461</v>
      </c>
      <c r="H127" t="str">
        <f t="shared" si="30"/>
        <v>2025-12-01</v>
      </c>
      <c r="I127" t="str">
        <f t="shared" si="35"/>
        <v>2511287651</v>
      </c>
      <c r="J127" t="str">
        <f t="shared" si="17"/>
        <v>DELIVERED</v>
      </c>
    </row>
    <row r="128" spans="1:10" x14ac:dyDescent="0.25">
      <c r="A128" t="str">
        <f t="shared" si="32"/>
        <v>0000113925</v>
      </c>
      <c r="B128" t="str">
        <f t="shared" si="33"/>
        <v>0001103664</v>
      </c>
      <c r="C128" t="str">
        <f t="shared" si="31"/>
        <v xml:space="preserve">TR40/24 </v>
      </c>
      <c r="D128" t="str">
        <f t="shared" si="34"/>
        <v>56</v>
      </c>
      <c r="E128">
        <v>4.7350000000000003</v>
      </c>
      <c r="F128">
        <v>353</v>
      </c>
      <c r="G128" t="str">
        <f>"1031800462"</f>
        <v>1031800462</v>
      </c>
      <c r="H128" t="str">
        <f t="shared" si="30"/>
        <v>2025-12-01</v>
      </c>
      <c r="I128" t="str">
        <f t="shared" si="35"/>
        <v>2511287651</v>
      </c>
      <c r="J128" t="str">
        <f t="shared" si="17"/>
        <v>DELIVERED</v>
      </c>
    </row>
    <row r="129" spans="1:10" x14ac:dyDescent="0.25">
      <c r="A129" t="str">
        <f t="shared" si="32"/>
        <v>0000113925</v>
      </c>
      <c r="B129" t="str">
        <f t="shared" si="33"/>
        <v>0001103664</v>
      </c>
      <c r="C129" t="str">
        <f t="shared" si="31"/>
        <v xml:space="preserve">TR40/24 </v>
      </c>
      <c r="D129" t="str">
        <f t="shared" si="34"/>
        <v>56</v>
      </c>
      <c r="E129">
        <v>3.4950000000000001</v>
      </c>
      <c r="F129">
        <v>317</v>
      </c>
      <c r="G129" t="str">
        <f>"1031800463"</f>
        <v>1031800463</v>
      </c>
      <c r="H129" t="str">
        <f t="shared" si="30"/>
        <v>2025-12-01</v>
      </c>
      <c r="I129" t="str">
        <f t="shared" si="35"/>
        <v>2511287651</v>
      </c>
      <c r="J129" t="str">
        <f t="shared" si="17"/>
        <v>DELIVERED</v>
      </c>
    </row>
    <row r="130" spans="1:10" x14ac:dyDescent="0.25">
      <c r="A130" t="str">
        <f t="shared" si="32"/>
        <v>0000113925</v>
      </c>
      <c r="B130" t="str">
        <f t="shared" si="33"/>
        <v>0001103664</v>
      </c>
      <c r="C130" t="str">
        <f t="shared" si="31"/>
        <v xml:space="preserve">TR40/24 </v>
      </c>
      <c r="D130" t="str">
        <f t="shared" si="34"/>
        <v>56</v>
      </c>
      <c r="E130">
        <v>3.4319999999999999</v>
      </c>
      <c r="F130">
        <v>271</v>
      </c>
      <c r="G130" t="str">
        <f>"1031800521"</f>
        <v>1031800521</v>
      </c>
      <c r="H130" t="str">
        <f t="shared" si="30"/>
        <v>2025-12-01</v>
      </c>
      <c r="I130" t="str">
        <f t="shared" si="35"/>
        <v>2511287651</v>
      </c>
      <c r="J130" t="str">
        <f t="shared" ref="J130:J193" si="36">"DELIVERED"</f>
        <v>DELIVERED</v>
      </c>
    </row>
    <row r="131" spans="1:10" x14ac:dyDescent="0.25">
      <c r="A131" t="str">
        <f t="shared" si="32"/>
        <v>0000113925</v>
      </c>
      <c r="B131" t="str">
        <f t="shared" si="33"/>
        <v>0001103664</v>
      </c>
      <c r="C131" t="str">
        <f t="shared" si="31"/>
        <v xml:space="preserve">TR40/24 </v>
      </c>
      <c r="D131" t="str">
        <f t="shared" si="34"/>
        <v>56</v>
      </c>
      <c r="E131">
        <v>3.1949999999999998</v>
      </c>
      <c r="F131">
        <v>206</v>
      </c>
      <c r="G131" t="str">
        <f>"1031800522"</f>
        <v>1031800522</v>
      </c>
      <c r="H131" t="str">
        <f t="shared" si="30"/>
        <v>2025-12-01</v>
      </c>
      <c r="I131" t="str">
        <f t="shared" si="35"/>
        <v>2511287651</v>
      </c>
      <c r="J131" t="str">
        <f t="shared" si="36"/>
        <v>DELIVERED</v>
      </c>
    </row>
    <row r="132" spans="1:10" x14ac:dyDescent="0.25">
      <c r="A132" t="str">
        <f t="shared" si="32"/>
        <v>0000113925</v>
      </c>
      <c r="B132" t="str">
        <f t="shared" si="33"/>
        <v>0001103664</v>
      </c>
      <c r="C132" t="str">
        <f t="shared" si="31"/>
        <v xml:space="preserve">TR40/24 </v>
      </c>
      <c r="D132" t="str">
        <f t="shared" si="34"/>
        <v>56</v>
      </c>
      <c r="E132">
        <v>3.2730000000000001</v>
      </c>
      <c r="F132">
        <v>167</v>
      </c>
      <c r="G132" t="str">
        <f>"1031806876"</f>
        <v>1031806876</v>
      </c>
      <c r="H132" t="str">
        <f t="shared" si="30"/>
        <v>2025-12-01</v>
      </c>
      <c r="I132" t="str">
        <f>"2512018206"</f>
        <v>2512018206</v>
      </c>
      <c r="J132" t="str">
        <f t="shared" si="36"/>
        <v>DELIVERED</v>
      </c>
    </row>
    <row r="133" spans="1:10" x14ac:dyDescent="0.25">
      <c r="A133" t="str">
        <f t="shared" si="32"/>
        <v>0000113925</v>
      </c>
      <c r="B133" t="str">
        <f t="shared" si="33"/>
        <v>0001103664</v>
      </c>
      <c r="C133" t="str">
        <f t="shared" si="31"/>
        <v xml:space="preserve">TR40/24 </v>
      </c>
      <c r="D133" t="str">
        <f t="shared" si="34"/>
        <v>56</v>
      </c>
      <c r="E133">
        <v>3.5680000000000001</v>
      </c>
      <c r="F133">
        <v>290</v>
      </c>
      <c r="G133" t="str">
        <f>"1031806877"</f>
        <v>1031806877</v>
      </c>
      <c r="H133" t="str">
        <f t="shared" si="30"/>
        <v>2025-12-01</v>
      </c>
      <c r="I133" t="str">
        <f>"2512018206"</f>
        <v>2512018206</v>
      </c>
      <c r="J133" t="str">
        <f t="shared" si="36"/>
        <v>DELIVERED</v>
      </c>
    </row>
    <row r="134" spans="1:10" x14ac:dyDescent="0.25">
      <c r="A134" t="str">
        <f t="shared" si="32"/>
        <v>0000113925</v>
      </c>
      <c r="B134" t="str">
        <f t="shared" si="33"/>
        <v>0001103664</v>
      </c>
      <c r="C134" t="str">
        <f t="shared" si="31"/>
        <v xml:space="preserve">TR40/24 </v>
      </c>
      <c r="D134" t="str">
        <f t="shared" si="34"/>
        <v>56</v>
      </c>
      <c r="E134">
        <v>3.629</v>
      </c>
      <c r="F134">
        <v>120</v>
      </c>
      <c r="G134" t="str">
        <f>"1031806878"</f>
        <v>1031806878</v>
      </c>
      <c r="H134" t="str">
        <f t="shared" si="30"/>
        <v>2025-12-01</v>
      </c>
      <c r="I134" t="str">
        <f>"2512018206"</f>
        <v>2512018206</v>
      </c>
      <c r="J134" t="str">
        <f t="shared" si="36"/>
        <v>DELIVERED</v>
      </c>
    </row>
    <row r="135" spans="1:10" x14ac:dyDescent="0.25">
      <c r="A135" t="str">
        <f t="shared" si="32"/>
        <v>0000113925</v>
      </c>
      <c r="B135" t="str">
        <f t="shared" si="33"/>
        <v>0001103664</v>
      </c>
      <c r="C135" t="str">
        <f t="shared" si="31"/>
        <v xml:space="preserve">TR40/24 </v>
      </c>
      <c r="D135" t="str">
        <f t="shared" si="34"/>
        <v>56</v>
      </c>
      <c r="E135">
        <v>4.327</v>
      </c>
      <c r="F135">
        <v>236</v>
      </c>
      <c r="G135" t="str">
        <f>"1031806879"</f>
        <v>1031806879</v>
      </c>
      <c r="H135" t="str">
        <f t="shared" si="30"/>
        <v>2025-12-01</v>
      </c>
      <c r="I135" t="str">
        <f>"2512018206"</f>
        <v>2512018206</v>
      </c>
      <c r="J135" t="str">
        <f t="shared" si="36"/>
        <v>DELIVERED</v>
      </c>
    </row>
    <row r="136" spans="1:10" x14ac:dyDescent="0.25">
      <c r="A136" t="str">
        <f t="shared" si="32"/>
        <v>0000113925</v>
      </c>
      <c r="B136" t="str">
        <f t="shared" si="33"/>
        <v>0001103664</v>
      </c>
      <c r="C136" t="str">
        <f t="shared" si="31"/>
        <v xml:space="preserve">TR40/24 </v>
      </c>
      <c r="D136" t="str">
        <f t="shared" si="34"/>
        <v>56</v>
      </c>
      <c r="E136">
        <v>6.859</v>
      </c>
      <c r="F136">
        <v>634</v>
      </c>
      <c r="G136" t="str">
        <f>"1031806884"</f>
        <v>1031806884</v>
      </c>
      <c r="H136" t="str">
        <f t="shared" si="30"/>
        <v>2025-12-01</v>
      </c>
      <c r="I136" t="str">
        <f t="shared" ref="I136:I141" si="37">"2512018208"</f>
        <v>2512018208</v>
      </c>
      <c r="J136" t="str">
        <f t="shared" si="36"/>
        <v>DELIVERED</v>
      </c>
    </row>
    <row r="137" spans="1:10" x14ac:dyDescent="0.25">
      <c r="A137" t="str">
        <f t="shared" si="32"/>
        <v>0000113925</v>
      </c>
      <c r="B137" t="str">
        <f t="shared" si="33"/>
        <v>0001103664</v>
      </c>
      <c r="C137" t="str">
        <f t="shared" si="31"/>
        <v xml:space="preserve">TR40/24 </v>
      </c>
      <c r="D137" t="str">
        <f t="shared" si="34"/>
        <v>56</v>
      </c>
      <c r="E137">
        <v>4.319</v>
      </c>
      <c r="F137">
        <v>320</v>
      </c>
      <c r="G137" t="str">
        <f>"1031806885"</f>
        <v>1031806885</v>
      </c>
      <c r="H137" t="str">
        <f t="shared" ref="H137:H168" si="38">"2025-12-01"</f>
        <v>2025-12-01</v>
      </c>
      <c r="I137" t="str">
        <f t="shared" si="37"/>
        <v>2512018208</v>
      </c>
      <c r="J137" t="str">
        <f t="shared" si="36"/>
        <v>DELIVERED</v>
      </c>
    </row>
    <row r="138" spans="1:10" x14ac:dyDescent="0.25">
      <c r="A138" t="str">
        <f t="shared" si="32"/>
        <v>0000113925</v>
      </c>
      <c r="B138" t="str">
        <f t="shared" si="33"/>
        <v>0001103664</v>
      </c>
      <c r="C138" t="str">
        <f t="shared" si="31"/>
        <v xml:space="preserve">TR40/24 </v>
      </c>
      <c r="D138" t="str">
        <f t="shared" si="34"/>
        <v>56</v>
      </c>
      <c r="E138">
        <v>4.1349999999999998</v>
      </c>
      <c r="F138">
        <v>314</v>
      </c>
      <c r="G138" t="str">
        <f>"1031806886"</f>
        <v>1031806886</v>
      </c>
      <c r="H138" t="str">
        <f t="shared" si="38"/>
        <v>2025-12-01</v>
      </c>
      <c r="I138" t="str">
        <f t="shared" si="37"/>
        <v>2512018208</v>
      </c>
      <c r="J138" t="str">
        <f t="shared" si="36"/>
        <v>DELIVERED</v>
      </c>
    </row>
    <row r="139" spans="1:10" x14ac:dyDescent="0.25">
      <c r="A139" t="str">
        <f t="shared" si="32"/>
        <v>0000113925</v>
      </c>
      <c r="B139" t="str">
        <f t="shared" si="33"/>
        <v>0001103664</v>
      </c>
      <c r="C139" t="str">
        <f t="shared" si="31"/>
        <v xml:space="preserve">TR40/24 </v>
      </c>
      <c r="D139" t="str">
        <f t="shared" si="34"/>
        <v>56</v>
      </c>
      <c r="E139">
        <v>1.7849999999999999</v>
      </c>
      <c r="F139">
        <v>189</v>
      </c>
      <c r="G139" t="str">
        <f>"1031806887"</f>
        <v>1031806887</v>
      </c>
      <c r="H139" t="str">
        <f t="shared" si="38"/>
        <v>2025-12-01</v>
      </c>
      <c r="I139" t="str">
        <f t="shared" si="37"/>
        <v>2512018208</v>
      </c>
      <c r="J139" t="str">
        <f t="shared" si="36"/>
        <v>DELIVERED</v>
      </c>
    </row>
    <row r="140" spans="1:10" x14ac:dyDescent="0.25">
      <c r="A140" t="str">
        <f t="shared" si="32"/>
        <v>0000113925</v>
      </c>
      <c r="B140" t="str">
        <f t="shared" si="33"/>
        <v>0001103664</v>
      </c>
      <c r="C140" t="str">
        <f t="shared" si="31"/>
        <v xml:space="preserve">TR40/24 </v>
      </c>
      <c r="D140" t="str">
        <f t="shared" si="34"/>
        <v>56</v>
      </c>
      <c r="E140">
        <v>2.859</v>
      </c>
      <c r="F140">
        <v>268</v>
      </c>
      <c r="G140" t="str">
        <f>"1031806888"</f>
        <v>1031806888</v>
      </c>
      <c r="H140" t="str">
        <f t="shared" si="38"/>
        <v>2025-12-01</v>
      </c>
      <c r="I140" t="str">
        <f t="shared" si="37"/>
        <v>2512018208</v>
      </c>
      <c r="J140" t="str">
        <f t="shared" si="36"/>
        <v>DELIVERED</v>
      </c>
    </row>
    <row r="141" spans="1:10" x14ac:dyDescent="0.25">
      <c r="A141" t="str">
        <f t="shared" si="32"/>
        <v>0000113925</v>
      </c>
      <c r="B141" t="str">
        <f t="shared" si="33"/>
        <v>0001103664</v>
      </c>
      <c r="C141" t="str">
        <f t="shared" si="31"/>
        <v xml:space="preserve">TR40/24 </v>
      </c>
      <c r="D141" t="str">
        <f t="shared" si="34"/>
        <v>56</v>
      </c>
      <c r="E141">
        <v>4.0369999999999999</v>
      </c>
      <c r="F141">
        <v>320</v>
      </c>
      <c r="G141" t="str">
        <f>"1031806889"</f>
        <v>1031806889</v>
      </c>
      <c r="H141" t="str">
        <f t="shared" si="38"/>
        <v>2025-12-01</v>
      </c>
      <c r="I141" t="str">
        <f t="shared" si="37"/>
        <v>2512018208</v>
      </c>
      <c r="J141" t="str">
        <f t="shared" si="36"/>
        <v>DELIVERED</v>
      </c>
    </row>
    <row r="142" spans="1:10" x14ac:dyDescent="0.25">
      <c r="A142" t="str">
        <f t="shared" si="32"/>
        <v>0000113925</v>
      </c>
      <c r="B142" t="str">
        <f t="shared" si="33"/>
        <v>0001103664</v>
      </c>
      <c r="C142" t="str">
        <f t="shared" si="31"/>
        <v xml:space="preserve">TR40/24 </v>
      </c>
      <c r="D142" t="str">
        <f t="shared" si="34"/>
        <v>56</v>
      </c>
      <c r="E142">
        <v>0.59</v>
      </c>
      <c r="F142">
        <v>577</v>
      </c>
      <c r="G142" t="str">
        <f>"1031806914"</f>
        <v>1031806914</v>
      </c>
      <c r="H142" t="str">
        <f t="shared" si="38"/>
        <v>2025-12-01</v>
      </c>
      <c r="I142" t="str">
        <f>"2512018206"</f>
        <v>2512018206</v>
      </c>
      <c r="J142" t="str">
        <f t="shared" si="36"/>
        <v>DELIVERED</v>
      </c>
    </row>
    <row r="143" spans="1:10" x14ac:dyDescent="0.25">
      <c r="A143" t="str">
        <f t="shared" si="32"/>
        <v>0000113925</v>
      </c>
      <c r="B143" t="str">
        <f t="shared" si="33"/>
        <v>0001103664</v>
      </c>
      <c r="C143" t="str">
        <f t="shared" si="31"/>
        <v xml:space="preserve">TR40/24 </v>
      </c>
      <c r="D143" t="str">
        <f t="shared" si="34"/>
        <v>56</v>
      </c>
      <c r="E143">
        <v>7.8150000000000004</v>
      </c>
      <c r="F143">
        <v>2498</v>
      </c>
      <c r="G143" t="str">
        <f>"1031806915"</f>
        <v>1031806915</v>
      </c>
      <c r="H143" t="str">
        <f t="shared" si="38"/>
        <v>2025-12-01</v>
      </c>
      <c r="I143" t="str">
        <f>"2512018206"</f>
        <v>2512018206</v>
      </c>
      <c r="J143" t="str">
        <f t="shared" si="36"/>
        <v>DELIVERED</v>
      </c>
    </row>
    <row r="144" spans="1:10" x14ac:dyDescent="0.25">
      <c r="A144" t="str">
        <f t="shared" si="32"/>
        <v>0000113925</v>
      </c>
      <c r="B144" t="str">
        <f t="shared" si="33"/>
        <v>0001103664</v>
      </c>
      <c r="C144" t="str">
        <f t="shared" si="31"/>
        <v xml:space="preserve">TR40/24 </v>
      </c>
      <c r="D144" t="str">
        <f t="shared" si="34"/>
        <v>56</v>
      </c>
      <c r="E144">
        <v>4.6529999999999996</v>
      </c>
      <c r="F144">
        <v>1363</v>
      </c>
      <c r="G144" t="str">
        <f>"1031812004"</f>
        <v>1031812004</v>
      </c>
      <c r="H144" t="str">
        <f t="shared" si="38"/>
        <v>2025-12-01</v>
      </c>
      <c r="I144" t="str">
        <f t="shared" ref="I144:I150" si="39">"2511297867"</f>
        <v>2511297867</v>
      </c>
      <c r="J144" t="str">
        <f t="shared" si="36"/>
        <v>DELIVERED</v>
      </c>
    </row>
    <row r="145" spans="1:10" x14ac:dyDescent="0.25">
      <c r="A145" t="str">
        <f t="shared" si="32"/>
        <v>0000113925</v>
      </c>
      <c r="B145" t="str">
        <f t="shared" si="33"/>
        <v>0001103664</v>
      </c>
      <c r="C145" t="str">
        <f t="shared" si="31"/>
        <v xml:space="preserve">TR40/24 </v>
      </c>
      <c r="D145" t="str">
        <f t="shared" si="34"/>
        <v>56</v>
      </c>
      <c r="E145">
        <v>1.4450000000000001</v>
      </c>
      <c r="F145">
        <v>577</v>
      </c>
      <c r="G145" t="str">
        <f>"1031812005"</f>
        <v>1031812005</v>
      </c>
      <c r="H145" t="str">
        <f t="shared" si="38"/>
        <v>2025-12-01</v>
      </c>
      <c r="I145" t="str">
        <f t="shared" si="39"/>
        <v>2511297867</v>
      </c>
      <c r="J145" t="str">
        <f t="shared" si="36"/>
        <v>DELIVERED</v>
      </c>
    </row>
    <row r="146" spans="1:10" x14ac:dyDescent="0.25">
      <c r="A146" t="str">
        <f t="shared" si="32"/>
        <v>0000113925</v>
      </c>
      <c r="B146" t="str">
        <f t="shared" si="33"/>
        <v>0001103664</v>
      </c>
      <c r="C146" t="str">
        <f t="shared" si="31"/>
        <v xml:space="preserve">TR40/24 </v>
      </c>
      <c r="D146" t="str">
        <f t="shared" si="34"/>
        <v>56</v>
      </c>
      <c r="E146">
        <v>4.4320000000000004</v>
      </c>
      <c r="F146">
        <v>1357</v>
      </c>
      <c r="G146" t="str">
        <f>"1031812071"</f>
        <v>1031812071</v>
      </c>
      <c r="H146" t="str">
        <f t="shared" si="38"/>
        <v>2025-12-01</v>
      </c>
      <c r="I146" t="str">
        <f t="shared" si="39"/>
        <v>2511297867</v>
      </c>
      <c r="J146" t="str">
        <f t="shared" si="36"/>
        <v>DELIVERED</v>
      </c>
    </row>
    <row r="147" spans="1:10" x14ac:dyDescent="0.25">
      <c r="A147" t="str">
        <f t="shared" si="32"/>
        <v>0000113925</v>
      </c>
      <c r="B147" t="str">
        <f t="shared" si="33"/>
        <v>0001103664</v>
      </c>
      <c r="C147" t="str">
        <f t="shared" si="31"/>
        <v xml:space="preserve">TR40/24 </v>
      </c>
      <c r="D147" t="str">
        <f t="shared" si="34"/>
        <v>56</v>
      </c>
      <c r="E147">
        <v>1.5109999999999999</v>
      </c>
      <c r="F147">
        <v>633</v>
      </c>
      <c r="G147" t="str">
        <f>"1031812072"</f>
        <v>1031812072</v>
      </c>
      <c r="H147" t="str">
        <f t="shared" si="38"/>
        <v>2025-12-01</v>
      </c>
      <c r="I147" t="str">
        <f t="shared" si="39"/>
        <v>2511297867</v>
      </c>
      <c r="J147" t="str">
        <f t="shared" si="36"/>
        <v>DELIVERED</v>
      </c>
    </row>
    <row r="148" spans="1:10" x14ac:dyDescent="0.25">
      <c r="A148" t="str">
        <f t="shared" si="32"/>
        <v>0000113925</v>
      </c>
      <c r="B148" t="str">
        <f t="shared" si="33"/>
        <v>0001103664</v>
      </c>
      <c r="C148" t="str">
        <f t="shared" si="31"/>
        <v xml:space="preserve">TR40/24 </v>
      </c>
      <c r="D148" t="str">
        <f t="shared" si="34"/>
        <v>56</v>
      </c>
      <c r="E148">
        <v>2.1850000000000001</v>
      </c>
      <c r="F148">
        <v>316</v>
      </c>
      <c r="G148" t="str">
        <f>"1031812096"</f>
        <v>1031812096</v>
      </c>
      <c r="H148" t="str">
        <f t="shared" si="38"/>
        <v>2025-12-01</v>
      </c>
      <c r="I148" t="str">
        <f t="shared" si="39"/>
        <v>2511297867</v>
      </c>
      <c r="J148" t="str">
        <f t="shared" si="36"/>
        <v>DELIVERED</v>
      </c>
    </row>
    <row r="149" spans="1:10" x14ac:dyDescent="0.25">
      <c r="A149" t="str">
        <f t="shared" si="32"/>
        <v>0000113925</v>
      </c>
      <c r="B149" t="str">
        <f t="shared" si="33"/>
        <v>0001103664</v>
      </c>
      <c r="C149" t="str">
        <f t="shared" si="31"/>
        <v xml:space="preserve">TR40/24 </v>
      </c>
      <c r="D149" t="str">
        <f t="shared" si="34"/>
        <v>56</v>
      </c>
      <c r="E149">
        <v>2.1850000000000001</v>
      </c>
      <c r="F149">
        <v>316</v>
      </c>
      <c r="G149" t="str">
        <f>"1031812107"</f>
        <v>1031812107</v>
      </c>
      <c r="H149" t="str">
        <f t="shared" si="38"/>
        <v>2025-12-01</v>
      </c>
      <c r="I149" t="str">
        <f t="shared" si="39"/>
        <v>2511297867</v>
      </c>
      <c r="J149" t="str">
        <f t="shared" si="36"/>
        <v>DELIVERED</v>
      </c>
    </row>
    <row r="150" spans="1:10" x14ac:dyDescent="0.25">
      <c r="A150" t="str">
        <f t="shared" si="32"/>
        <v>0000113925</v>
      </c>
      <c r="B150" t="str">
        <f t="shared" si="33"/>
        <v>0001103664</v>
      </c>
      <c r="C150" t="str">
        <f t="shared" ref="C150:C181" si="40">"TR40/24 "</f>
        <v xml:space="preserve">TR40/24 </v>
      </c>
      <c r="D150" t="str">
        <f t="shared" si="34"/>
        <v>56</v>
      </c>
      <c r="E150">
        <v>1.129</v>
      </c>
      <c r="F150">
        <v>135</v>
      </c>
      <c r="G150" t="str">
        <f>"1031813478"</f>
        <v>1031813478</v>
      </c>
      <c r="H150" t="str">
        <f t="shared" si="38"/>
        <v>2025-12-01</v>
      </c>
      <c r="I150" t="str">
        <f t="shared" si="39"/>
        <v>2511297867</v>
      </c>
      <c r="J150" t="str">
        <f t="shared" si="36"/>
        <v>DELIVERED</v>
      </c>
    </row>
    <row r="151" spans="1:10" x14ac:dyDescent="0.25">
      <c r="A151" t="str">
        <f t="shared" ref="A151:A168" si="41">"0000114142"</f>
        <v>0000114142</v>
      </c>
      <c r="B151" t="str">
        <f t="shared" ref="B151:B168" si="42">"0001102636"</f>
        <v>0001102636</v>
      </c>
      <c r="C151" t="str">
        <f t="shared" si="40"/>
        <v xml:space="preserve">TR40/24 </v>
      </c>
      <c r="D151" t="str">
        <f t="shared" ref="D151:D168" si="43">"46"</f>
        <v>46</v>
      </c>
      <c r="E151">
        <v>6.1840000000000002</v>
      </c>
      <c r="F151">
        <v>430</v>
      </c>
      <c r="G151" t="str">
        <f>"1031809954"</f>
        <v>1031809954</v>
      </c>
      <c r="H151" t="str">
        <f t="shared" si="38"/>
        <v>2025-12-01</v>
      </c>
      <c r="I151" t="str">
        <f>"2511308120"</f>
        <v>2511308120</v>
      </c>
      <c r="J151" t="str">
        <f t="shared" si="36"/>
        <v>DELIVERED</v>
      </c>
    </row>
    <row r="152" spans="1:10" x14ac:dyDescent="0.25">
      <c r="A152" t="str">
        <f t="shared" si="41"/>
        <v>0000114142</v>
      </c>
      <c r="B152" t="str">
        <f t="shared" si="42"/>
        <v>0001102636</v>
      </c>
      <c r="C152" t="str">
        <f t="shared" si="40"/>
        <v xml:space="preserve">TR40/24 </v>
      </c>
      <c r="D152" t="str">
        <f t="shared" si="43"/>
        <v>46</v>
      </c>
      <c r="E152">
        <v>4.4320000000000004</v>
      </c>
      <c r="F152">
        <v>320</v>
      </c>
      <c r="G152" t="str">
        <f>"1031809955"</f>
        <v>1031809955</v>
      </c>
      <c r="H152" t="str">
        <f t="shared" si="38"/>
        <v>2025-12-01</v>
      </c>
      <c r="I152" t="str">
        <f>"2511308120"</f>
        <v>2511308120</v>
      </c>
      <c r="J152" t="str">
        <f t="shared" si="36"/>
        <v>DELIVERED</v>
      </c>
    </row>
    <row r="153" spans="1:10" x14ac:dyDescent="0.25">
      <c r="A153" t="str">
        <f t="shared" si="41"/>
        <v>0000114142</v>
      </c>
      <c r="B153" t="str">
        <f t="shared" si="42"/>
        <v>0001102636</v>
      </c>
      <c r="C153" t="str">
        <f t="shared" si="40"/>
        <v xml:space="preserve">TR40/24 </v>
      </c>
      <c r="D153" t="str">
        <f t="shared" si="43"/>
        <v>46</v>
      </c>
      <c r="E153">
        <v>1.417</v>
      </c>
      <c r="F153">
        <v>284</v>
      </c>
      <c r="G153" t="str">
        <f>"1031809956"</f>
        <v>1031809956</v>
      </c>
      <c r="H153" t="str">
        <f t="shared" si="38"/>
        <v>2025-12-01</v>
      </c>
      <c r="I153" t="str">
        <f>"2511308120"</f>
        <v>2511308120</v>
      </c>
      <c r="J153" t="str">
        <f t="shared" si="36"/>
        <v>DELIVERED</v>
      </c>
    </row>
    <row r="154" spans="1:10" x14ac:dyDescent="0.25">
      <c r="A154" t="str">
        <f t="shared" si="41"/>
        <v>0000114142</v>
      </c>
      <c r="B154" t="str">
        <f t="shared" si="42"/>
        <v>0001102636</v>
      </c>
      <c r="C154" t="str">
        <f t="shared" si="40"/>
        <v xml:space="preserve">TR40/24 </v>
      </c>
      <c r="D154" t="str">
        <f t="shared" si="43"/>
        <v>46</v>
      </c>
      <c r="E154">
        <v>3.6560000000000001</v>
      </c>
      <c r="F154">
        <v>2788</v>
      </c>
      <c r="G154" t="str">
        <f>"1031809957"</f>
        <v>1031809957</v>
      </c>
      <c r="H154" t="str">
        <f t="shared" si="38"/>
        <v>2025-12-01</v>
      </c>
      <c r="I154" t="str">
        <f>"2511308120"</f>
        <v>2511308120</v>
      </c>
      <c r="J154" t="str">
        <f t="shared" si="36"/>
        <v>DELIVERED</v>
      </c>
    </row>
    <row r="155" spans="1:10" x14ac:dyDescent="0.25">
      <c r="A155" t="str">
        <f t="shared" si="41"/>
        <v>0000114142</v>
      </c>
      <c r="B155" t="str">
        <f t="shared" si="42"/>
        <v>0001102636</v>
      </c>
      <c r="C155" t="str">
        <f t="shared" si="40"/>
        <v xml:space="preserve">TR40/24 </v>
      </c>
      <c r="D155" t="str">
        <f t="shared" si="43"/>
        <v>46</v>
      </c>
      <c r="E155">
        <v>2.0190000000000001</v>
      </c>
      <c r="F155">
        <v>797</v>
      </c>
      <c r="G155" t="str">
        <f>"1031810048"</f>
        <v>1031810048</v>
      </c>
      <c r="H155" t="str">
        <f t="shared" si="38"/>
        <v>2025-12-01</v>
      </c>
      <c r="I155" t="str">
        <f>"2511308118"</f>
        <v>2511308118</v>
      </c>
      <c r="J155" t="str">
        <f t="shared" si="36"/>
        <v>DELIVERED</v>
      </c>
    </row>
    <row r="156" spans="1:10" x14ac:dyDescent="0.25">
      <c r="A156" t="str">
        <f t="shared" si="41"/>
        <v>0000114142</v>
      </c>
      <c r="B156" t="str">
        <f t="shared" si="42"/>
        <v>0001102636</v>
      </c>
      <c r="C156" t="str">
        <f t="shared" si="40"/>
        <v xml:space="preserve">TR40/24 </v>
      </c>
      <c r="D156" t="str">
        <f t="shared" si="43"/>
        <v>46</v>
      </c>
      <c r="E156">
        <v>0.56799999999999995</v>
      </c>
      <c r="F156">
        <v>189</v>
      </c>
      <c r="G156" t="str">
        <f>"1031810054"</f>
        <v>1031810054</v>
      </c>
      <c r="H156" t="str">
        <f t="shared" si="38"/>
        <v>2025-12-01</v>
      </c>
      <c r="I156" t="str">
        <f>"2511308118"</f>
        <v>2511308118</v>
      </c>
      <c r="J156" t="str">
        <f t="shared" si="36"/>
        <v>DELIVERED</v>
      </c>
    </row>
    <row r="157" spans="1:10" x14ac:dyDescent="0.25">
      <c r="A157" t="str">
        <f t="shared" si="41"/>
        <v>0000114142</v>
      </c>
      <c r="B157" t="str">
        <f t="shared" si="42"/>
        <v>0001102636</v>
      </c>
      <c r="C157" t="str">
        <f t="shared" si="40"/>
        <v xml:space="preserve">TR40/24 </v>
      </c>
      <c r="D157" t="str">
        <f t="shared" si="43"/>
        <v>46</v>
      </c>
      <c r="E157">
        <v>3.9180000000000001</v>
      </c>
      <c r="F157">
        <v>1163</v>
      </c>
      <c r="G157" t="str">
        <f>"1031810058"</f>
        <v>1031810058</v>
      </c>
      <c r="H157" t="str">
        <f t="shared" si="38"/>
        <v>2025-12-01</v>
      </c>
      <c r="I157" t="str">
        <f>"2511308118"</f>
        <v>2511308118</v>
      </c>
      <c r="J157" t="str">
        <f t="shared" si="36"/>
        <v>DELIVERED</v>
      </c>
    </row>
    <row r="158" spans="1:10" x14ac:dyDescent="0.25">
      <c r="A158" t="str">
        <f t="shared" si="41"/>
        <v>0000114142</v>
      </c>
      <c r="B158" t="str">
        <f t="shared" si="42"/>
        <v>0001102636</v>
      </c>
      <c r="C158" t="str">
        <f t="shared" si="40"/>
        <v xml:space="preserve">TR40/24 </v>
      </c>
      <c r="D158" t="str">
        <f t="shared" si="43"/>
        <v>46</v>
      </c>
      <c r="E158">
        <v>5.1980000000000004</v>
      </c>
      <c r="F158">
        <v>2771</v>
      </c>
      <c r="G158" t="str">
        <f>"1031810401"</f>
        <v>1031810401</v>
      </c>
      <c r="H158" t="str">
        <f t="shared" si="38"/>
        <v>2025-12-01</v>
      </c>
      <c r="I158" t="str">
        <f>"2511308118"</f>
        <v>2511308118</v>
      </c>
      <c r="J158" t="str">
        <f t="shared" si="36"/>
        <v>DELIVERED</v>
      </c>
    </row>
    <row r="159" spans="1:10" x14ac:dyDescent="0.25">
      <c r="A159" t="str">
        <f t="shared" si="41"/>
        <v>0000114142</v>
      </c>
      <c r="B159" t="str">
        <f t="shared" si="42"/>
        <v>0001102636</v>
      </c>
      <c r="C159" t="str">
        <f t="shared" si="40"/>
        <v xml:space="preserve">TR40/24 </v>
      </c>
      <c r="D159" t="str">
        <f t="shared" si="43"/>
        <v>46</v>
      </c>
      <c r="E159">
        <v>3.3210000000000002</v>
      </c>
      <c r="F159">
        <v>912</v>
      </c>
      <c r="G159" t="str">
        <f>"1031810472"</f>
        <v>1031810472</v>
      </c>
      <c r="H159" t="str">
        <f t="shared" si="38"/>
        <v>2025-12-01</v>
      </c>
      <c r="I159" t="str">
        <f>"2511308115"</f>
        <v>2511308115</v>
      </c>
      <c r="J159" t="str">
        <f t="shared" si="36"/>
        <v>DELIVERED</v>
      </c>
    </row>
    <row r="160" spans="1:10" x14ac:dyDescent="0.25">
      <c r="A160" t="str">
        <f t="shared" si="41"/>
        <v>0000114142</v>
      </c>
      <c r="B160" t="str">
        <f t="shared" si="42"/>
        <v>0001102636</v>
      </c>
      <c r="C160" t="str">
        <f t="shared" si="40"/>
        <v xml:space="preserve">TR40/24 </v>
      </c>
      <c r="D160" t="str">
        <f t="shared" si="43"/>
        <v>46</v>
      </c>
      <c r="E160">
        <v>2.411</v>
      </c>
      <c r="F160">
        <v>910</v>
      </c>
      <c r="G160" t="str">
        <f>"1031810529"</f>
        <v>1031810529</v>
      </c>
      <c r="H160" t="str">
        <f t="shared" si="38"/>
        <v>2025-12-01</v>
      </c>
      <c r="I160" t="str">
        <f>"2511308118"</f>
        <v>2511308118</v>
      </c>
      <c r="J160" t="str">
        <f t="shared" si="36"/>
        <v>DELIVERED</v>
      </c>
    </row>
    <row r="161" spans="1:10" x14ac:dyDescent="0.25">
      <c r="A161" t="str">
        <f t="shared" si="41"/>
        <v>0000114142</v>
      </c>
      <c r="B161" t="str">
        <f t="shared" si="42"/>
        <v>0001102636</v>
      </c>
      <c r="C161" t="str">
        <f t="shared" si="40"/>
        <v xml:space="preserve">TR40/24 </v>
      </c>
      <c r="D161" t="str">
        <f t="shared" si="43"/>
        <v>46</v>
      </c>
      <c r="E161">
        <v>4.7</v>
      </c>
      <c r="F161">
        <v>1452</v>
      </c>
      <c r="G161" t="str">
        <f>"1031810552"</f>
        <v>1031810552</v>
      </c>
      <c r="H161" t="str">
        <f t="shared" si="38"/>
        <v>2025-12-01</v>
      </c>
      <c r="I161" t="str">
        <f>"2511308115"</f>
        <v>2511308115</v>
      </c>
      <c r="J161" t="str">
        <f t="shared" si="36"/>
        <v>DELIVERED</v>
      </c>
    </row>
    <row r="162" spans="1:10" x14ac:dyDescent="0.25">
      <c r="A162" t="str">
        <f t="shared" si="41"/>
        <v>0000114142</v>
      </c>
      <c r="B162" t="str">
        <f t="shared" si="42"/>
        <v>0001102636</v>
      </c>
      <c r="C162" t="str">
        <f t="shared" si="40"/>
        <v xml:space="preserve">TR40/24 </v>
      </c>
      <c r="D162" t="str">
        <f t="shared" si="43"/>
        <v>46</v>
      </c>
      <c r="E162">
        <v>2.9009999999999998</v>
      </c>
      <c r="F162">
        <v>1304</v>
      </c>
      <c r="G162" t="str">
        <f>"1031810604"</f>
        <v>1031810604</v>
      </c>
      <c r="H162" t="str">
        <f t="shared" si="38"/>
        <v>2025-12-01</v>
      </c>
      <c r="I162" t="str">
        <f>"2511308115"</f>
        <v>2511308115</v>
      </c>
      <c r="J162" t="str">
        <f t="shared" si="36"/>
        <v>DELIVERED</v>
      </c>
    </row>
    <row r="163" spans="1:10" x14ac:dyDescent="0.25">
      <c r="A163" t="str">
        <f t="shared" si="41"/>
        <v>0000114142</v>
      </c>
      <c r="B163" t="str">
        <f t="shared" si="42"/>
        <v>0001102636</v>
      </c>
      <c r="C163" t="str">
        <f t="shared" si="40"/>
        <v xml:space="preserve">TR40/24 </v>
      </c>
      <c r="D163" t="str">
        <f t="shared" si="43"/>
        <v>46</v>
      </c>
      <c r="E163">
        <v>12.657</v>
      </c>
      <c r="F163">
        <v>6397</v>
      </c>
      <c r="G163" t="str">
        <f>"1031811763"</f>
        <v>1031811763</v>
      </c>
      <c r="H163" t="str">
        <f t="shared" si="38"/>
        <v>2025-12-01</v>
      </c>
      <c r="I163" t="str">
        <f>"2511308105"</f>
        <v>2511308105</v>
      </c>
      <c r="J163" t="str">
        <f t="shared" si="36"/>
        <v>DELIVERED</v>
      </c>
    </row>
    <row r="164" spans="1:10" x14ac:dyDescent="0.25">
      <c r="A164" t="str">
        <f t="shared" si="41"/>
        <v>0000114142</v>
      </c>
      <c r="B164" t="str">
        <f t="shared" si="42"/>
        <v>0001102636</v>
      </c>
      <c r="C164" t="str">
        <f t="shared" si="40"/>
        <v xml:space="preserve">TR40/24 </v>
      </c>
      <c r="D164" t="str">
        <f t="shared" si="43"/>
        <v>46</v>
      </c>
      <c r="E164">
        <v>11.11</v>
      </c>
      <c r="F164">
        <v>5430</v>
      </c>
      <c r="G164" t="str">
        <f>"1031811784"</f>
        <v>1031811784</v>
      </c>
      <c r="H164" t="str">
        <f t="shared" si="38"/>
        <v>2025-12-01</v>
      </c>
      <c r="I164" t="str">
        <f>"2511308105"</f>
        <v>2511308105</v>
      </c>
      <c r="J164" t="str">
        <f t="shared" si="36"/>
        <v>DELIVERED</v>
      </c>
    </row>
    <row r="165" spans="1:10" x14ac:dyDescent="0.25">
      <c r="A165" t="str">
        <f t="shared" si="41"/>
        <v>0000114142</v>
      </c>
      <c r="B165" t="str">
        <f t="shared" si="42"/>
        <v>0001102636</v>
      </c>
      <c r="C165" t="str">
        <f t="shared" si="40"/>
        <v xml:space="preserve">TR40/24 </v>
      </c>
      <c r="D165" t="str">
        <f t="shared" si="43"/>
        <v>46</v>
      </c>
      <c r="E165">
        <v>19.456</v>
      </c>
      <c r="F165">
        <v>2167</v>
      </c>
      <c r="G165" t="str">
        <f>"1031812770"</f>
        <v>1031812770</v>
      </c>
      <c r="H165" t="str">
        <f t="shared" si="38"/>
        <v>2025-12-01</v>
      </c>
      <c r="I165" t="str">
        <f>"2511307381"</f>
        <v>2511307381</v>
      </c>
      <c r="J165" t="str">
        <f t="shared" si="36"/>
        <v>DELIVERED</v>
      </c>
    </row>
    <row r="166" spans="1:10" x14ac:dyDescent="0.25">
      <c r="A166" t="str">
        <f t="shared" si="41"/>
        <v>0000114142</v>
      </c>
      <c r="B166" t="str">
        <f t="shared" si="42"/>
        <v>0001102636</v>
      </c>
      <c r="C166" t="str">
        <f t="shared" si="40"/>
        <v xml:space="preserve">TR40/24 </v>
      </c>
      <c r="D166" t="str">
        <f t="shared" si="43"/>
        <v>46</v>
      </c>
      <c r="E166">
        <v>6.859</v>
      </c>
      <c r="F166">
        <v>2469</v>
      </c>
      <c r="G166" t="str">
        <f>"1031814203"</f>
        <v>1031814203</v>
      </c>
      <c r="H166" t="str">
        <f t="shared" si="38"/>
        <v>2025-12-01</v>
      </c>
      <c r="I166" t="str">
        <f>"2512018218"</f>
        <v>2512018218</v>
      </c>
      <c r="J166" t="str">
        <f t="shared" si="36"/>
        <v>DELIVERED</v>
      </c>
    </row>
    <row r="167" spans="1:10" x14ac:dyDescent="0.25">
      <c r="A167" t="str">
        <f t="shared" si="41"/>
        <v>0000114142</v>
      </c>
      <c r="B167" t="str">
        <f t="shared" si="42"/>
        <v>0001102636</v>
      </c>
      <c r="C167" t="str">
        <f t="shared" si="40"/>
        <v xml:space="preserve">TR40/24 </v>
      </c>
      <c r="D167" t="str">
        <f t="shared" si="43"/>
        <v>46</v>
      </c>
      <c r="E167">
        <v>2.052</v>
      </c>
      <c r="F167">
        <v>773</v>
      </c>
      <c r="G167" t="str">
        <f>"1031814204"</f>
        <v>1031814204</v>
      </c>
      <c r="H167" t="str">
        <f t="shared" si="38"/>
        <v>2025-12-01</v>
      </c>
      <c r="I167" t="str">
        <f>"2512018218"</f>
        <v>2512018218</v>
      </c>
      <c r="J167" t="str">
        <f t="shared" si="36"/>
        <v>DELIVERED</v>
      </c>
    </row>
    <row r="168" spans="1:10" x14ac:dyDescent="0.25">
      <c r="A168" t="str">
        <f t="shared" si="41"/>
        <v>0000114142</v>
      </c>
      <c r="B168" t="str">
        <f t="shared" si="42"/>
        <v>0001102636</v>
      </c>
      <c r="C168" t="str">
        <f t="shared" si="40"/>
        <v xml:space="preserve">TR40/24 </v>
      </c>
      <c r="D168" t="str">
        <f t="shared" si="43"/>
        <v>46</v>
      </c>
      <c r="E168">
        <v>4.96</v>
      </c>
      <c r="F168">
        <v>8500</v>
      </c>
      <c r="G168" t="str">
        <f>"1031814207"</f>
        <v>1031814207</v>
      </c>
      <c r="H168" t="str">
        <f t="shared" si="38"/>
        <v>2025-12-01</v>
      </c>
      <c r="I168" t="str">
        <f>"2512018218"</f>
        <v>2512018218</v>
      </c>
      <c r="J168" t="str">
        <f t="shared" si="36"/>
        <v>DELIVERED</v>
      </c>
    </row>
    <row r="169" spans="1:10" x14ac:dyDescent="0.25">
      <c r="A169" t="str">
        <f t="shared" ref="A169:A176" si="44">"0000114156"</f>
        <v>0000114156</v>
      </c>
      <c r="B169" t="str">
        <f t="shared" ref="B169:B176" si="45">"0001101505"</f>
        <v>0001101505</v>
      </c>
      <c r="C169" t="str">
        <f t="shared" si="40"/>
        <v xml:space="preserve">TR40/24 </v>
      </c>
      <c r="D169" t="str">
        <f t="shared" ref="D169:D176" si="46">"33"</f>
        <v>33</v>
      </c>
      <c r="E169">
        <v>3.2749999999999999</v>
      </c>
      <c r="F169">
        <v>1525</v>
      </c>
      <c r="G169" t="str">
        <f>"1031808545"</f>
        <v>1031808545</v>
      </c>
      <c r="H169" t="str">
        <f t="shared" ref="H169:H200" si="47">"2025-12-01"</f>
        <v>2025-12-01</v>
      </c>
      <c r="I169" t="str">
        <f t="shared" ref="I169:I174" si="48">"2512018205"</f>
        <v>2512018205</v>
      </c>
      <c r="J169" t="str">
        <f t="shared" si="36"/>
        <v>DELIVERED</v>
      </c>
    </row>
    <row r="170" spans="1:10" x14ac:dyDescent="0.25">
      <c r="A170" t="str">
        <f t="shared" si="44"/>
        <v>0000114156</v>
      </c>
      <c r="B170" t="str">
        <f t="shared" si="45"/>
        <v>0001101505</v>
      </c>
      <c r="C170" t="str">
        <f t="shared" si="40"/>
        <v xml:space="preserve">TR40/24 </v>
      </c>
      <c r="D170" t="str">
        <f t="shared" si="46"/>
        <v>33</v>
      </c>
      <c r="E170">
        <v>5.7709999999999999</v>
      </c>
      <c r="F170">
        <v>1354</v>
      </c>
      <c r="G170" t="str">
        <f>"1031808546"</f>
        <v>1031808546</v>
      </c>
      <c r="H170" t="str">
        <f t="shared" si="47"/>
        <v>2025-12-01</v>
      </c>
      <c r="I170" t="str">
        <f t="shared" si="48"/>
        <v>2512018205</v>
      </c>
      <c r="J170" t="str">
        <f t="shared" si="36"/>
        <v>DELIVERED</v>
      </c>
    </row>
    <row r="171" spans="1:10" x14ac:dyDescent="0.25">
      <c r="A171" t="str">
        <f t="shared" si="44"/>
        <v>0000114156</v>
      </c>
      <c r="B171" t="str">
        <f t="shared" si="45"/>
        <v>0001101505</v>
      </c>
      <c r="C171" t="str">
        <f t="shared" si="40"/>
        <v xml:space="preserve">TR40/24 </v>
      </c>
      <c r="D171" t="str">
        <f t="shared" si="46"/>
        <v>33</v>
      </c>
      <c r="E171">
        <v>5.742</v>
      </c>
      <c r="F171">
        <v>1304</v>
      </c>
      <c r="G171" t="str">
        <f>"1031809197"</f>
        <v>1031809197</v>
      </c>
      <c r="H171" t="str">
        <f t="shared" si="47"/>
        <v>2025-12-01</v>
      </c>
      <c r="I171" t="str">
        <f t="shared" si="48"/>
        <v>2512018205</v>
      </c>
      <c r="J171" t="str">
        <f t="shared" si="36"/>
        <v>DELIVERED</v>
      </c>
    </row>
    <row r="172" spans="1:10" x14ac:dyDescent="0.25">
      <c r="A172" t="str">
        <f t="shared" si="44"/>
        <v>0000114156</v>
      </c>
      <c r="B172" t="str">
        <f t="shared" si="45"/>
        <v>0001101505</v>
      </c>
      <c r="C172" t="str">
        <f t="shared" si="40"/>
        <v xml:space="preserve">TR40/24 </v>
      </c>
      <c r="D172" t="str">
        <f t="shared" si="46"/>
        <v>33</v>
      </c>
      <c r="E172">
        <v>3.57</v>
      </c>
      <c r="F172">
        <v>1543</v>
      </c>
      <c r="G172" t="str">
        <f>"1031809224"</f>
        <v>1031809224</v>
      </c>
      <c r="H172" t="str">
        <f t="shared" si="47"/>
        <v>2025-12-01</v>
      </c>
      <c r="I172" t="str">
        <f t="shared" si="48"/>
        <v>2512018205</v>
      </c>
      <c r="J172" t="str">
        <f t="shared" si="36"/>
        <v>DELIVERED</v>
      </c>
    </row>
    <row r="173" spans="1:10" x14ac:dyDescent="0.25">
      <c r="A173" t="str">
        <f t="shared" si="44"/>
        <v>0000114156</v>
      </c>
      <c r="B173" t="str">
        <f t="shared" si="45"/>
        <v>0001101505</v>
      </c>
      <c r="C173" t="str">
        <f t="shared" si="40"/>
        <v xml:space="preserve">TR40/24 </v>
      </c>
      <c r="D173" t="str">
        <f t="shared" si="46"/>
        <v>33</v>
      </c>
      <c r="E173">
        <v>5.2939999999999996</v>
      </c>
      <c r="F173">
        <v>1203</v>
      </c>
      <c r="G173" t="str">
        <f>"1031809322"</f>
        <v>1031809322</v>
      </c>
      <c r="H173" t="str">
        <f t="shared" si="47"/>
        <v>2025-12-01</v>
      </c>
      <c r="I173" t="str">
        <f t="shared" si="48"/>
        <v>2512018205</v>
      </c>
      <c r="J173" t="str">
        <f t="shared" si="36"/>
        <v>DELIVERED</v>
      </c>
    </row>
    <row r="174" spans="1:10" x14ac:dyDescent="0.25">
      <c r="A174" t="str">
        <f t="shared" si="44"/>
        <v>0000114156</v>
      </c>
      <c r="B174" t="str">
        <f t="shared" si="45"/>
        <v>0001101505</v>
      </c>
      <c r="C174" t="str">
        <f t="shared" si="40"/>
        <v xml:space="preserve">TR40/24 </v>
      </c>
      <c r="D174" t="str">
        <f t="shared" si="46"/>
        <v>33</v>
      </c>
      <c r="E174">
        <v>3.2949999999999999</v>
      </c>
      <c r="F174">
        <v>1493</v>
      </c>
      <c r="G174" t="str">
        <f>"1031809335"</f>
        <v>1031809335</v>
      </c>
      <c r="H174" t="str">
        <f t="shared" si="47"/>
        <v>2025-12-01</v>
      </c>
      <c r="I174" t="str">
        <f t="shared" si="48"/>
        <v>2512018205</v>
      </c>
      <c r="J174" t="str">
        <f t="shared" si="36"/>
        <v>DELIVERED</v>
      </c>
    </row>
    <row r="175" spans="1:10" x14ac:dyDescent="0.25">
      <c r="A175" t="str">
        <f t="shared" si="44"/>
        <v>0000114156</v>
      </c>
      <c r="B175" t="str">
        <f t="shared" si="45"/>
        <v>0001101505</v>
      </c>
      <c r="C175" t="str">
        <f t="shared" si="40"/>
        <v xml:space="preserve">TR40/24 </v>
      </c>
      <c r="D175" t="str">
        <f t="shared" si="46"/>
        <v>33</v>
      </c>
      <c r="E175">
        <v>1.917</v>
      </c>
      <c r="F175">
        <v>928</v>
      </c>
      <c r="G175" t="str">
        <f>"1031811143"</f>
        <v>1031811143</v>
      </c>
      <c r="H175" t="str">
        <f t="shared" si="47"/>
        <v>2025-12-01</v>
      </c>
      <c r="I175" t="str">
        <f>"2512018198"</f>
        <v>2512018198</v>
      </c>
      <c r="J175" t="str">
        <f t="shared" si="36"/>
        <v>DELIVERED</v>
      </c>
    </row>
    <row r="176" spans="1:10" x14ac:dyDescent="0.25">
      <c r="A176" t="str">
        <f t="shared" si="44"/>
        <v>0000114156</v>
      </c>
      <c r="B176" t="str">
        <f t="shared" si="45"/>
        <v>0001101505</v>
      </c>
      <c r="C176" t="str">
        <f t="shared" si="40"/>
        <v xml:space="preserve">TR40/24 </v>
      </c>
      <c r="D176" t="str">
        <f t="shared" si="46"/>
        <v>33</v>
      </c>
      <c r="E176">
        <v>2.9239999999999999</v>
      </c>
      <c r="F176">
        <v>614</v>
      </c>
      <c r="G176" t="str">
        <f>"1031811148"</f>
        <v>1031811148</v>
      </c>
      <c r="H176" t="str">
        <f t="shared" si="47"/>
        <v>2025-12-01</v>
      </c>
      <c r="I176" t="str">
        <f>"2512018198"</f>
        <v>2512018198</v>
      </c>
      <c r="J176" t="str">
        <f t="shared" si="36"/>
        <v>DELIVERED</v>
      </c>
    </row>
    <row r="177" spans="1:10" x14ac:dyDescent="0.25">
      <c r="A177" t="str">
        <f t="shared" ref="A177:A201" si="49">"0000114158"</f>
        <v>0000114158</v>
      </c>
      <c r="B177" t="str">
        <f t="shared" ref="B177:B201" si="50">"0001101186"</f>
        <v>0001101186</v>
      </c>
      <c r="C177" t="str">
        <f t="shared" si="40"/>
        <v xml:space="preserve">TR40/24 </v>
      </c>
      <c r="D177" t="str">
        <f t="shared" ref="D177:D201" si="51">"51"</f>
        <v>51</v>
      </c>
      <c r="E177">
        <v>3.2029999999999998</v>
      </c>
      <c r="F177">
        <v>1596</v>
      </c>
      <c r="G177" t="str">
        <f>"1031812823"</f>
        <v>1031812823</v>
      </c>
      <c r="H177" t="str">
        <f t="shared" si="47"/>
        <v>2025-12-01</v>
      </c>
      <c r="I177" t="str">
        <f t="shared" ref="I177:I186" si="52">"2512018150"</f>
        <v>2512018150</v>
      </c>
      <c r="J177" t="str">
        <f t="shared" si="36"/>
        <v>DELIVERED</v>
      </c>
    </row>
    <row r="178" spans="1:10" x14ac:dyDescent="0.25">
      <c r="A178" t="str">
        <f t="shared" si="49"/>
        <v>0000114158</v>
      </c>
      <c r="B178" t="str">
        <f t="shared" si="50"/>
        <v>0001101186</v>
      </c>
      <c r="C178" t="str">
        <f t="shared" si="40"/>
        <v xml:space="preserve">TR40/24 </v>
      </c>
      <c r="D178" t="str">
        <f t="shared" si="51"/>
        <v>51</v>
      </c>
      <c r="E178">
        <v>1.637</v>
      </c>
      <c r="F178">
        <v>1558</v>
      </c>
      <c r="G178" t="str">
        <f>"1031812824"</f>
        <v>1031812824</v>
      </c>
      <c r="H178" t="str">
        <f t="shared" si="47"/>
        <v>2025-12-01</v>
      </c>
      <c r="I178" t="str">
        <f t="shared" si="52"/>
        <v>2512018150</v>
      </c>
      <c r="J178" t="str">
        <f t="shared" si="36"/>
        <v>DELIVERED</v>
      </c>
    </row>
    <row r="179" spans="1:10" x14ac:dyDescent="0.25">
      <c r="A179" t="str">
        <f t="shared" si="49"/>
        <v>0000114158</v>
      </c>
      <c r="B179" t="str">
        <f t="shared" si="50"/>
        <v>0001101186</v>
      </c>
      <c r="C179" t="str">
        <f t="shared" si="40"/>
        <v xml:space="preserve">TR40/24 </v>
      </c>
      <c r="D179" t="str">
        <f t="shared" si="51"/>
        <v>51</v>
      </c>
      <c r="E179">
        <v>8.0419999999999998</v>
      </c>
      <c r="F179">
        <v>16</v>
      </c>
      <c r="G179" t="str">
        <f>"1031812825"</f>
        <v>1031812825</v>
      </c>
      <c r="H179" t="str">
        <f t="shared" si="47"/>
        <v>2025-12-01</v>
      </c>
      <c r="I179" t="str">
        <f t="shared" si="52"/>
        <v>2512018150</v>
      </c>
      <c r="J179" t="str">
        <f t="shared" si="36"/>
        <v>DELIVERED</v>
      </c>
    </row>
    <row r="180" spans="1:10" x14ac:dyDescent="0.25">
      <c r="A180" t="str">
        <f t="shared" si="49"/>
        <v>0000114158</v>
      </c>
      <c r="B180" t="str">
        <f t="shared" si="50"/>
        <v>0001101186</v>
      </c>
      <c r="C180" t="str">
        <f t="shared" si="40"/>
        <v xml:space="preserve">TR40/24 </v>
      </c>
      <c r="D180" t="str">
        <f t="shared" si="51"/>
        <v>51</v>
      </c>
      <c r="E180">
        <v>0.8</v>
      </c>
      <c r="F180">
        <v>1314</v>
      </c>
      <c r="G180" t="str">
        <f>"1031812826"</f>
        <v>1031812826</v>
      </c>
      <c r="H180" t="str">
        <f t="shared" si="47"/>
        <v>2025-12-01</v>
      </c>
      <c r="I180" t="str">
        <f t="shared" si="52"/>
        <v>2512018150</v>
      </c>
      <c r="J180" t="str">
        <f t="shared" si="36"/>
        <v>DELIVERED</v>
      </c>
    </row>
    <row r="181" spans="1:10" x14ac:dyDescent="0.25">
      <c r="A181" t="str">
        <f t="shared" si="49"/>
        <v>0000114158</v>
      </c>
      <c r="B181" t="str">
        <f t="shared" si="50"/>
        <v>0001101186</v>
      </c>
      <c r="C181" t="str">
        <f t="shared" si="40"/>
        <v xml:space="preserve">TR40/24 </v>
      </c>
      <c r="D181" t="str">
        <f t="shared" si="51"/>
        <v>51</v>
      </c>
      <c r="E181">
        <v>0.311</v>
      </c>
      <c r="F181">
        <v>223</v>
      </c>
      <c r="G181" t="str">
        <f>"1031812827"</f>
        <v>1031812827</v>
      </c>
      <c r="H181" t="str">
        <f t="shared" si="47"/>
        <v>2025-12-01</v>
      </c>
      <c r="I181" t="str">
        <f t="shared" si="52"/>
        <v>2512018150</v>
      </c>
      <c r="J181" t="str">
        <f t="shared" si="36"/>
        <v>DELIVERED</v>
      </c>
    </row>
    <row r="182" spans="1:10" x14ac:dyDescent="0.25">
      <c r="A182" t="str">
        <f t="shared" si="49"/>
        <v>0000114158</v>
      </c>
      <c r="B182" t="str">
        <f t="shared" si="50"/>
        <v>0001101186</v>
      </c>
      <c r="C182" t="str">
        <f t="shared" ref="C182:C213" si="53">"TR40/24 "</f>
        <v xml:space="preserve">TR40/24 </v>
      </c>
      <c r="D182" t="str">
        <f t="shared" si="51"/>
        <v>51</v>
      </c>
      <c r="E182">
        <v>0.25800000000000001</v>
      </c>
      <c r="F182">
        <v>267</v>
      </c>
      <c r="G182" t="str">
        <f>"1031812828"</f>
        <v>1031812828</v>
      </c>
      <c r="H182" t="str">
        <f t="shared" si="47"/>
        <v>2025-12-01</v>
      </c>
      <c r="I182" t="str">
        <f t="shared" si="52"/>
        <v>2512018150</v>
      </c>
      <c r="J182" t="str">
        <f t="shared" si="36"/>
        <v>DELIVERED</v>
      </c>
    </row>
    <row r="183" spans="1:10" x14ac:dyDescent="0.25">
      <c r="A183" t="str">
        <f t="shared" si="49"/>
        <v>0000114158</v>
      </c>
      <c r="B183" t="str">
        <f t="shared" si="50"/>
        <v>0001101186</v>
      </c>
      <c r="C183" t="str">
        <f t="shared" si="53"/>
        <v xml:space="preserve">TR40/24 </v>
      </c>
      <c r="D183" t="str">
        <f t="shared" si="51"/>
        <v>51</v>
      </c>
      <c r="E183">
        <v>3.4060000000000001</v>
      </c>
      <c r="F183">
        <v>3090</v>
      </c>
      <c r="G183" t="str">
        <f>"1031812844"</f>
        <v>1031812844</v>
      </c>
      <c r="H183" t="str">
        <f t="shared" si="47"/>
        <v>2025-12-01</v>
      </c>
      <c r="I183" t="str">
        <f t="shared" si="52"/>
        <v>2512018150</v>
      </c>
      <c r="J183" t="str">
        <f t="shared" si="36"/>
        <v>DELIVERED</v>
      </c>
    </row>
    <row r="184" spans="1:10" x14ac:dyDescent="0.25">
      <c r="A184" t="str">
        <f t="shared" si="49"/>
        <v>0000114158</v>
      </c>
      <c r="B184" t="str">
        <f t="shared" si="50"/>
        <v>0001101186</v>
      </c>
      <c r="C184" t="str">
        <f t="shared" si="53"/>
        <v xml:space="preserve">TR40/24 </v>
      </c>
      <c r="D184" t="str">
        <f t="shared" si="51"/>
        <v>51</v>
      </c>
      <c r="E184">
        <v>1.3740000000000001</v>
      </c>
      <c r="F184">
        <v>1187</v>
      </c>
      <c r="G184" t="str">
        <f>"1031812846"</f>
        <v>1031812846</v>
      </c>
      <c r="H184" t="str">
        <f t="shared" si="47"/>
        <v>2025-12-01</v>
      </c>
      <c r="I184" t="str">
        <f t="shared" si="52"/>
        <v>2512018150</v>
      </c>
      <c r="J184" t="str">
        <f t="shared" si="36"/>
        <v>DELIVERED</v>
      </c>
    </row>
    <row r="185" spans="1:10" x14ac:dyDescent="0.25">
      <c r="A185" t="str">
        <f t="shared" si="49"/>
        <v>0000114158</v>
      </c>
      <c r="B185" t="str">
        <f t="shared" si="50"/>
        <v>0001101186</v>
      </c>
      <c r="C185" t="str">
        <f t="shared" si="53"/>
        <v xml:space="preserve">TR40/24 </v>
      </c>
      <c r="D185" t="str">
        <f t="shared" si="51"/>
        <v>51</v>
      </c>
      <c r="E185">
        <v>1.1599999999999999</v>
      </c>
      <c r="F185">
        <v>857</v>
      </c>
      <c r="G185" t="str">
        <f>"1031812847"</f>
        <v>1031812847</v>
      </c>
      <c r="H185" t="str">
        <f t="shared" si="47"/>
        <v>2025-12-01</v>
      </c>
      <c r="I185" t="str">
        <f t="shared" si="52"/>
        <v>2512018150</v>
      </c>
      <c r="J185" t="str">
        <f t="shared" si="36"/>
        <v>DELIVERED</v>
      </c>
    </row>
    <row r="186" spans="1:10" x14ac:dyDescent="0.25">
      <c r="A186" t="str">
        <f t="shared" si="49"/>
        <v>0000114158</v>
      </c>
      <c r="B186" t="str">
        <f t="shared" si="50"/>
        <v>0001101186</v>
      </c>
      <c r="C186" t="str">
        <f t="shared" si="53"/>
        <v xml:space="preserve">TR40/24 </v>
      </c>
      <c r="D186" t="str">
        <f t="shared" si="51"/>
        <v>51</v>
      </c>
      <c r="E186">
        <v>2.0169999999999999</v>
      </c>
      <c r="F186">
        <v>1434</v>
      </c>
      <c r="G186" t="str">
        <f>"1031812848"</f>
        <v>1031812848</v>
      </c>
      <c r="H186" t="str">
        <f t="shared" si="47"/>
        <v>2025-12-01</v>
      </c>
      <c r="I186" t="str">
        <f t="shared" si="52"/>
        <v>2512018150</v>
      </c>
      <c r="J186" t="str">
        <f t="shared" si="36"/>
        <v>DELIVERED</v>
      </c>
    </row>
    <row r="187" spans="1:10" x14ac:dyDescent="0.25">
      <c r="A187" t="str">
        <f t="shared" si="49"/>
        <v>0000114158</v>
      </c>
      <c r="B187" t="str">
        <f t="shared" si="50"/>
        <v>0001101186</v>
      </c>
      <c r="C187" t="str">
        <f t="shared" si="53"/>
        <v xml:space="preserve">TR40/24 </v>
      </c>
      <c r="D187" t="str">
        <f t="shared" si="51"/>
        <v>51</v>
      </c>
      <c r="E187">
        <v>1.1359999999999999</v>
      </c>
      <c r="F187">
        <v>252</v>
      </c>
      <c r="G187" t="str">
        <f>"1031813005"</f>
        <v>1031813005</v>
      </c>
      <c r="H187" t="str">
        <f t="shared" si="47"/>
        <v>2025-12-01</v>
      </c>
      <c r="I187" t="str">
        <f>"2511297874"</f>
        <v>2511297874</v>
      </c>
      <c r="J187" t="str">
        <f t="shared" si="36"/>
        <v>DELIVERED</v>
      </c>
    </row>
    <row r="188" spans="1:10" x14ac:dyDescent="0.25">
      <c r="A188" t="str">
        <f t="shared" si="49"/>
        <v>0000114158</v>
      </c>
      <c r="B188" t="str">
        <f t="shared" si="50"/>
        <v>0001101186</v>
      </c>
      <c r="C188" t="str">
        <f t="shared" si="53"/>
        <v xml:space="preserve">TR40/24 </v>
      </c>
      <c r="D188" t="str">
        <f t="shared" si="51"/>
        <v>51</v>
      </c>
      <c r="E188">
        <v>0.40200000000000002</v>
      </c>
      <c r="F188">
        <v>386</v>
      </c>
      <c r="G188" t="str">
        <f>"1031813006"</f>
        <v>1031813006</v>
      </c>
      <c r="H188" t="str">
        <f t="shared" si="47"/>
        <v>2025-12-01</v>
      </c>
      <c r="I188" t="str">
        <f>"2511297874"</f>
        <v>2511297874</v>
      </c>
      <c r="J188" t="str">
        <f t="shared" si="36"/>
        <v>DELIVERED</v>
      </c>
    </row>
    <row r="189" spans="1:10" x14ac:dyDescent="0.25">
      <c r="A189" t="str">
        <f t="shared" si="49"/>
        <v>0000114158</v>
      </c>
      <c r="B189" t="str">
        <f t="shared" si="50"/>
        <v>0001101186</v>
      </c>
      <c r="C189" t="str">
        <f t="shared" si="53"/>
        <v xml:space="preserve">TR40/24 </v>
      </c>
      <c r="D189" t="str">
        <f t="shared" si="51"/>
        <v>51</v>
      </c>
      <c r="E189">
        <v>1.5920000000000001</v>
      </c>
      <c r="F189">
        <v>1304</v>
      </c>
      <c r="G189" t="str">
        <f>"1031813007"</f>
        <v>1031813007</v>
      </c>
      <c r="H189" t="str">
        <f t="shared" si="47"/>
        <v>2025-12-01</v>
      </c>
      <c r="I189" t="str">
        <f>"2511297874"</f>
        <v>2511297874</v>
      </c>
      <c r="J189" t="str">
        <f t="shared" si="36"/>
        <v>DELIVERED</v>
      </c>
    </row>
    <row r="190" spans="1:10" x14ac:dyDescent="0.25">
      <c r="A190" t="str">
        <f t="shared" si="49"/>
        <v>0000114158</v>
      </c>
      <c r="B190" t="str">
        <f t="shared" si="50"/>
        <v>0001101186</v>
      </c>
      <c r="C190" t="str">
        <f t="shared" si="53"/>
        <v xml:space="preserve">TR40/24 </v>
      </c>
      <c r="D190" t="str">
        <f t="shared" si="51"/>
        <v>51</v>
      </c>
      <c r="E190">
        <v>0.64800000000000002</v>
      </c>
      <c r="F190">
        <v>582</v>
      </c>
      <c r="G190" t="str">
        <f>"1031813008"</f>
        <v>1031813008</v>
      </c>
      <c r="H190" t="str">
        <f t="shared" si="47"/>
        <v>2025-12-01</v>
      </c>
      <c r="I190" t="str">
        <f>"2511297874"</f>
        <v>2511297874</v>
      </c>
      <c r="J190" t="str">
        <f t="shared" si="36"/>
        <v>DELIVERED</v>
      </c>
    </row>
    <row r="191" spans="1:10" x14ac:dyDescent="0.25">
      <c r="A191" t="str">
        <f t="shared" si="49"/>
        <v>0000114158</v>
      </c>
      <c r="B191" t="str">
        <f t="shared" si="50"/>
        <v>0001101186</v>
      </c>
      <c r="C191" t="str">
        <f t="shared" si="53"/>
        <v xml:space="preserve">TR40/24 </v>
      </c>
      <c r="D191" t="str">
        <f t="shared" si="51"/>
        <v>51</v>
      </c>
      <c r="E191">
        <v>4.0570000000000004</v>
      </c>
      <c r="F191">
        <v>1794</v>
      </c>
      <c r="G191" t="str">
        <f>"1031813009"</f>
        <v>1031813009</v>
      </c>
      <c r="H191" t="str">
        <f t="shared" si="47"/>
        <v>2025-12-01</v>
      </c>
      <c r="I191" t="str">
        <f>"2511297874"</f>
        <v>2511297874</v>
      </c>
      <c r="J191" t="str">
        <f t="shared" si="36"/>
        <v>DELIVERED</v>
      </c>
    </row>
    <row r="192" spans="1:10" x14ac:dyDescent="0.25">
      <c r="A192" t="str">
        <f t="shared" si="49"/>
        <v>0000114158</v>
      </c>
      <c r="B192" t="str">
        <f t="shared" si="50"/>
        <v>0001101186</v>
      </c>
      <c r="C192" t="str">
        <f t="shared" si="53"/>
        <v xml:space="preserve">TR40/24 </v>
      </c>
      <c r="D192" t="str">
        <f t="shared" si="51"/>
        <v>51</v>
      </c>
      <c r="E192">
        <v>1.363</v>
      </c>
      <c r="F192">
        <v>132</v>
      </c>
      <c r="G192" t="str">
        <f>"1031813965"</f>
        <v>1031813965</v>
      </c>
      <c r="H192" t="str">
        <f t="shared" si="47"/>
        <v>2025-12-01</v>
      </c>
      <c r="I192" t="str">
        <f t="shared" ref="I192:I197" si="54">"2512018167"</f>
        <v>2512018167</v>
      </c>
      <c r="J192" t="str">
        <f t="shared" si="36"/>
        <v>DELIVERED</v>
      </c>
    </row>
    <row r="193" spans="1:10" x14ac:dyDescent="0.25">
      <c r="A193" t="str">
        <f t="shared" si="49"/>
        <v>0000114158</v>
      </c>
      <c r="B193" t="str">
        <f t="shared" si="50"/>
        <v>0001101186</v>
      </c>
      <c r="C193" t="str">
        <f t="shared" si="53"/>
        <v xml:space="preserve">TR40/24 </v>
      </c>
      <c r="D193" t="str">
        <f t="shared" si="51"/>
        <v>51</v>
      </c>
      <c r="E193">
        <v>0.77900000000000003</v>
      </c>
      <c r="F193">
        <v>108</v>
      </c>
      <c r="G193" t="str">
        <f>"1031813966"</f>
        <v>1031813966</v>
      </c>
      <c r="H193" t="str">
        <f t="shared" si="47"/>
        <v>2025-12-01</v>
      </c>
      <c r="I193" t="str">
        <f t="shared" si="54"/>
        <v>2512018167</v>
      </c>
      <c r="J193" t="str">
        <f t="shared" si="36"/>
        <v>DELIVERED</v>
      </c>
    </row>
    <row r="194" spans="1:10" x14ac:dyDescent="0.25">
      <c r="A194" t="str">
        <f t="shared" si="49"/>
        <v>0000114158</v>
      </c>
      <c r="B194" t="str">
        <f t="shared" si="50"/>
        <v>0001101186</v>
      </c>
      <c r="C194" t="str">
        <f t="shared" si="53"/>
        <v xml:space="preserve">TR40/24 </v>
      </c>
      <c r="D194" t="str">
        <f t="shared" si="51"/>
        <v>51</v>
      </c>
      <c r="E194">
        <v>7.1999999999999995E-2</v>
      </c>
      <c r="F194">
        <v>54</v>
      </c>
      <c r="G194" t="str">
        <f>"1031813967"</f>
        <v>1031813967</v>
      </c>
      <c r="H194" t="str">
        <f t="shared" si="47"/>
        <v>2025-12-01</v>
      </c>
      <c r="I194" t="str">
        <f t="shared" si="54"/>
        <v>2512018167</v>
      </c>
      <c r="J194" t="str">
        <f t="shared" ref="J194:J257" si="55">"DELIVERED"</f>
        <v>DELIVERED</v>
      </c>
    </row>
    <row r="195" spans="1:10" x14ac:dyDescent="0.25">
      <c r="A195" t="str">
        <f t="shared" si="49"/>
        <v>0000114158</v>
      </c>
      <c r="B195" t="str">
        <f t="shared" si="50"/>
        <v>0001101186</v>
      </c>
      <c r="C195" t="str">
        <f t="shared" si="53"/>
        <v xml:space="preserve">TR40/24 </v>
      </c>
      <c r="D195" t="str">
        <f t="shared" si="51"/>
        <v>51</v>
      </c>
      <c r="E195">
        <v>0.33600000000000002</v>
      </c>
      <c r="F195">
        <v>202</v>
      </c>
      <c r="G195" t="str">
        <f>"1031813968"</f>
        <v>1031813968</v>
      </c>
      <c r="H195" t="str">
        <f t="shared" si="47"/>
        <v>2025-12-01</v>
      </c>
      <c r="I195" t="str">
        <f t="shared" si="54"/>
        <v>2512018167</v>
      </c>
      <c r="J195" t="str">
        <f t="shared" si="55"/>
        <v>DELIVERED</v>
      </c>
    </row>
    <row r="196" spans="1:10" x14ac:dyDescent="0.25">
      <c r="A196" t="str">
        <f t="shared" si="49"/>
        <v>0000114158</v>
      </c>
      <c r="B196" t="str">
        <f t="shared" si="50"/>
        <v>0001101186</v>
      </c>
      <c r="C196" t="str">
        <f t="shared" si="53"/>
        <v xml:space="preserve">TR40/24 </v>
      </c>
      <c r="D196" t="str">
        <f t="shared" si="51"/>
        <v>51</v>
      </c>
      <c r="E196">
        <v>1.23</v>
      </c>
      <c r="F196">
        <v>264</v>
      </c>
      <c r="G196" t="str">
        <f>"1031813969"</f>
        <v>1031813969</v>
      </c>
      <c r="H196" t="str">
        <f t="shared" si="47"/>
        <v>2025-12-01</v>
      </c>
      <c r="I196" t="str">
        <f t="shared" si="54"/>
        <v>2512018167</v>
      </c>
      <c r="J196" t="str">
        <f t="shared" si="55"/>
        <v>DELIVERED</v>
      </c>
    </row>
    <row r="197" spans="1:10" x14ac:dyDescent="0.25">
      <c r="A197" t="str">
        <f t="shared" si="49"/>
        <v>0000114158</v>
      </c>
      <c r="B197" t="str">
        <f t="shared" si="50"/>
        <v>0001101186</v>
      </c>
      <c r="C197" t="str">
        <f t="shared" si="53"/>
        <v xml:space="preserve">TR40/24 </v>
      </c>
      <c r="D197" t="str">
        <f t="shared" si="51"/>
        <v>51</v>
      </c>
      <c r="E197">
        <v>1.46</v>
      </c>
      <c r="F197">
        <v>420</v>
      </c>
      <c r="G197" t="str">
        <f>"1031813970"</f>
        <v>1031813970</v>
      </c>
      <c r="H197" t="str">
        <f t="shared" si="47"/>
        <v>2025-12-01</v>
      </c>
      <c r="I197" t="str">
        <f t="shared" si="54"/>
        <v>2512018167</v>
      </c>
      <c r="J197" t="str">
        <f t="shared" si="55"/>
        <v>DELIVERED</v>
      </c>
    </row>
    <row r="198" spans="1:10" x14ac:dyDescent="0.25">
      <c r="A198" t="str">
        <f t="shared" si="49"/>
        <v>0000114158</v>
      </c>
      <c r="B198" t="str">
        <f t="shared" si="50"/>
        <v>0001101186</v>
      </c>
      <c r="C198" t="str">
        <f t="shared" si="53"/>
        <v xml:space="preserve">TR40/24 </v>
      </c>
      <c r="D198" t="str">
        <f t="shared" si="51"/>
        <v>51</v>
      </c>
      <c r="E198">
        <v>18.324999999999999</v>
      </c>
      <c r="F198">
        <v>36</v>
      </c>
      <c r="G198" t="str">
        <f>"1031813971"</f>
        <v>1031813971</v>
      </c>
      <c r="H198" t="str">
        <f t="shared" si="47"/>
        <v>2025-12-01</v>
      </c>
      <c r="I198" t="str">
        <f>"2512018150"</f>
        <v>2512018150</v>
      </c>
      <c r="J198" t="str">
        <f t="shared" si="55"/>
        <v>DELIVERED</v>
      </c>
    </row>
    <row r="199" spans="1:10" x14ac:dyDescent="0.25">
      <c r="A199" t="str">
        <f t="shared" si="49"/>
        <v>0000114158</v>
      </c>
      <c r="B199" t="str">
        <f t="shared" si="50"/>
        <v>0001101186</v>
      </c>
      <c r="C199" t="str">
        <f t="shared" si="53"/>
        <v xml:space="preserve">TR40/24 </v>
      </c>
      <c r="D199" t="str">
        <f t="shared" si="51"/>
        <v>51</v>
      </c>
      <c r="E199">
        <v>0.25700000000000001</v>
      </c>
      <c r="F199">
        <v>58</v>
      </c>
      <c r="G199" t="str">
        <f>"1031814327"</f>
        <v>1031814327</v>
      </c>
      <c r="H199" t="str">
        <f t="shared" si="47"/>
        <v>2025-12-01</v>
      </c>
      <c r="I199" t="str">
        <f>"2512018167"</f>
        <v>2512018167</v>
      </c>
      <c r="J199" t="str">
        <f t="shared" si="55"/>
        <v>DELIVERED</v>
      </c>
    </row>
    <row r="200" spans="1:10" x14ac:dyDescent="0.25">
      <c r="A200" t="str">
        <f t="shared" si="49"/>
        <v>0000114158</v>
      </c>
      <c r="B200" t="str">
        <f t="shared" si="50"/>
        <v>0001101186</v>
      </c>
      <c r="C200" t="str">
        <f t="shared" si="53"/>
        <v xml:space="preserve">TR40/24 </v>
      </c>
      <c r="D200" t="str">
        <f t="shared" si="51"/>
        <v>51</v>
      </c>
      <c r="E200">
        <v>0.127</v>
      </c>
      <c r="F200">
        <v>30</v>
      </c>
      <c r="G200" t="str">
        <f>"1031814328"</f>
        <v>1031814328</v>
      </c>
      <c r="H200" t="str">
        <f t="shared" si="47"/>
        <v>2025-12-01</v>
      </c>
      <c r="I200" t="str">
        <f>"2512018167"</f>
        <v>2512018167</v>
      </c>
      <c r="J200" t="str">
        <f t="shared" si="55"/>
        <v>DELIVERED</v>
      </c>
    </row>
    <row r="201" spans="1:10" x14ac:dyDescent="0.25">
      <c r="A201" t="str">
        <f t="shared" si="49"/>
        <v>0000114158</v>
      </c>
      <c r="B201" t="str">
        <f t="shared" si="50"/>
        <v>0001101186</v>
      </c>
      <c r="C201" t="str">
        <f t="shared" si="53"/>
        <v xml:space="preserve">TR40/24 </v>
      </c>
      <c r="D201" t="str">
        <f t="shared" si="51"/>
        <v>51</v>
      </c>
      <c r="E201">
        <v>0.311</v>
      </c>
      <c r="F201">
        <v>970</v>
      </c>
      <c r="G201" t="str">
        <f>"1031815393"</f>
        <v>1031815393</v>
      </c>
      <c r="H201" t="str">
        <f t="shared" ref="H201:H232" si="56">"2025-12-01"</f>
        <v>2025-12-01</v>
      </c>
      <c r="I201" t="str">
        <f>"2512018167"</f>
        <v>2512018167</v>
      </c>
      <c r="J201" t="str">
        <f t="shared" si="55"/>
        <v>DELIVERED</v>
      </c>
    </row>
    <row r="202" spans="1:10" x14ac:dyDescent="0.25">
      <c r="A202" t="str">
        <f>"0000114225"</f>
        <v>0000114225</v>
      </c>
      <c r="B202" t="str">
        <f>"0001101382"</f>
        <v>0001101382</v>
      </c>
      <c r="C202" t="str">
        <f t="shared" si="53"/>
        <v xml:space="preserve">TR40/24 </v>
      </c>
      <c r="D202" t="str">
        <f>"99"</f>
        <v>99</v>
      </c>
      <c r="E202">
        <v>4.3239999999999998</v>
      </c>
      <c r="F202">
        <v>467</v>
      </c>
      <c r="G202" t="str">
        <f>"1031812304"</f>
        <v>1031812304</v>
      </c>
      <c r="H202" t="str">
        <f t="shared" si="56"/>
        <v>2025-12-01</v>
      </c>
      <c r="I202" t="str">
        <f>"2511308763"</f>
        <v>2511308763</v>
      </c>
      <c r="J202" t="str">
        <f t="shared" si="55"/>
        <v>DELIVERED</v>
      </c>
    </row>
    <row r="203" spans="1:10" x14ac:dyDescent="0.25">
      <c r="A203" t="str">
        <f>"0000114225"</f>
        <v>0000114225</v>
      </c>
      <c r="B203" t="str">
        <f>"0001101382"</f>
        <v>0001101382</v>
      </c>
      <c r="C203" t="str">
        <f t="shared" si="53"/>
        <v xml:space="preserve">TR40/24 </v>
      </c>
      <c r="D203" t="str">
        <f>"99"</f>
        <v>99</v>
      </c>
      <c r="E203">
        <v>3.5950000000000002</v>
      </c>
      <c r="F203">
        <v>3000</v>
      </c>
      <c r="G203" t="str">
        <f>"1031813799"</f>
        <v>1031813799</v>
      </c>
      <c r="H203" t="str">
        <f t="shared" si="56"/>
        <v>2025-12-01</v>
      </c>
      <c r="I203" t="str">
        <f>"2511308763"</f>
        <v>2511308763</v>
      </c>
      <c r="J203" t="str">
        <f t="shared" si="55"/>
        <v>DELIVERED</v>
      </c>
    </row>
    <row r="204" spans="1:10" x14ac:dyDescent="0.25">
      <c r="A204" t="str">
        <f>"0000114248"</f>
        <v>0000114248</v>
      </c>
      <c r="B204" t="str">
        <f>"0001101510"</f>
        <v>0001101510</v>
      </c>
      <c r="C204" t="str">
        <f t="shared" si="53"/>
        <v xml:space="preserve">TR40/24 </v>
      </c>
      <c r="D204" t="str">
        <f>"14"</f>
        <v>14</v>
      </c>
      <c r="E204">
        <v>21.742000000000001</v>
      </c>
      <c r="F204">
        <v>3934</v>
      </c>
      <c r="G204" t="str">
        <f>"1031812052"</f>
        <v>1031812052</v>
      </c>
      <c r="H204" t="str">
        <f t="shared" si="56"/>
        <v>2025-12-01</v>
      </c>
      <c r="I204" t="str">
        <f>"2512017225"</f>
        <v>2512017225</v>
      </c>
      <c r="J204" t="str">
        <f t="shared" si="55"/>
        <v>DELIVERED</v>
      </c>
    </row>
    <row r="205" spans="1:10" x14ac:dyDescent="0.25">
      <c r="A205" t="str">
        <f>"0000114249"</f>
        <v>0000114249</v>
      </c>
      <c r="B205" t="str">
        <f>"0001101663"</f>
        <v>0001101663</v>
      </c>
      <c r="C205" t="str">
        <f t="shared" si="53"/>
        <v xml:space="preserve">TR40/24 </v>
      </c>
      <c r="D205" t="str">
        <f>"76"</f>
        <v>76</v>
      </c>
      <c r="E205">
        <v>3.4529999999999998</v>
      </c>
      <c r="F205">
        <v>1155</v>
      </c>
      <c r="G205" t="str">
        <f>"1031805698"</f>
        <v>1031805698</v>
      </c>
      <c r="H205" t="str">
        <f t="shared" si="56"/>
        <v>2025-12-01</v>
      </c>
      <c r="I205" t="str">
        <f>"2512018195"</f>
        <v>2512018195</v>
      </c>
      <c r="J205" t="str">
        <f t="shared" si="55"/>
        <v>DELIVERED</v>
      </c>
    </row>
    <row r="206" spans="1:10" x14ac:dyDescent="0.25">
      <c r="A206" t="str">
        <f>"0000114249"</f>
        <v>0000114249</v>
      </c>
      <c r="B206" t="str">
        <f>"0001101663"</f>
        <v>0001101663</v>
      </c>
      <c r="C206" t="str">
        <f t="shared" si="53"/>
        <v xml:space="preserve">TR40/24 </v>
      </c>
      <c r="D206" t="str">
        <f>"76"</f>
        <v>76</v>
      </c>
      <c r="E206">
        <v>2.7919999999999998</v>
      </c>
      <c r="F206">
        <v>538</v>
      </c>
      <c r="G206" t="str">
        <f>"1031805703"</f>
        <v>1031805703</v>
      </c>
      <c r="H206" t="str">
        <f t="shared" si="56"/>
        <v>2025-12-01</v>
      </c>
      <c r="I206" t="str">
        <f>"2512018195"</f>
        <v>2512018195</v>
      </c>
      <c r="J206" t="str">
        <f t="shared" si="55"/>
        <v>DELIVERED</v>
      </c>
    </row>
    <row r="207" spans="1:10" x14ac:dyDescent="0.25">
      <c r="A207" t="str">
        <f>"0000114252"</f>
        <v>0000114252</v>
      </c>
      <c r="B207" t="str">
        <f>"0001101656"</f>
        <v>0001101656</v>
      </c>
      <c r="C207" t="str">
        <f t="shared" si="53"/>
        <v xml:space="preserve">TR40/24 </v>
      </c>
      <c r="D207" t="str">
        <f>"99"</f>
        <v>99</v>
      </c>
      <c r="E207">
        <v>6.5490000000000004</v>
      </c>
      <c r="F207">
        <v>4094</v>
      </c>
      <c r="G207" t="str">
        <f>"1031800953"</f>
        <v>1031800953</v>
      </c>
      <c r="H207" t="str">
        <f t="shared" si="56"/>
        <v>2025-12-01</v>
      </c>
      <c r="I207" t="str">
        <f>"2511287604"</f>
        <v>2511287604</v>
      </c>
      <c r="J207" t="str">
        <f t="shared" si="55"/>
        <v>DELIVERED</v>
      </c>
    </row>
    <row r="208" spans="1:10" x14ac:dyDescent="0.25">
      <c r="A208" t="str">
        <f>"0000114252"</f>
        <v>0000114252</v>
      </c>
      <c r="B208" t="str">
        <f>"0001101656"</f>
        <v>0001101656</v>
      </c>
      <c r="C208" t="str">
        <f t="shared" si="53"/>
        <v xml:space="preserve">TR40/24 </v>
      </c>
      <c r="D208" t="str">
        <f>"99"</f>
        <v>99</v>
      </c>
      <c r="E208">
        <v>7.4790000000000001</v>
      </c>
      <c r="F208">
        <v>3156</v>
      </c>
      <c r="G208" t="str">
        <f>"1031800967"</f>
        <v>1031800967</v>
      </c>
      <c r="H208" t="str">
        <f t="shared" si="56"/>
        <v>2025-12-01</v>
      </c>
      <c r="I208" t="str">
        <f>"2511287604"</f>
        <v>2511287604</v>
      </c>
      <c r="J208" t="str">
        <f t="shared" si="55"/>
        <v>DELIVERED</v>
      </c>
    </row>
    <row r="209" spans="1:10" x14ac:dyDescent="0.25">
      <c r="A209" t="str">
        <f>"0000114268"</f>
        <v>0000114268</v>
      </c>
      <c r="B209" t="str">
        <f>"0001101263"</f>
        <v>0001101263</v>
      </c>
      <c r="C209" t="str">
        <f t="shared" si="53"/>
        <v xml:space="preserve">TR40/24 </v>
      </c>
      <c r="D209" t="str">
        <f>"99"</f>
        <v>99</v>
      </c>
      <c r="E209">
        <v>5.2</v>
      </c>
      <c r="F209">
        <v>360</v>
      </c>
      <c r="G209" t="str">
        <f>"1031814439"</f>
        <v>1031814439</v>
      </c>
      <c r="H209" t="str">
        <f t="shared" si="56"/>
        <v>2025-12-01</v>
      </c>
      <c r="I209" t="str">
        <f>"2512018162"</f>
        <v>2512018162</v>
      </c>
      <c r="J209" t="str">
        <f t="shared" si="55"/>
        <v>DELIVERED</v>
      </c>
    </row>
    <row r="210" spans="1:10" x14ac:dyDescent="0.25">
      <c r="A210" t="str">
        <f>"0000114268"</f>
        <v>0000114268</v>
      </c>
      <c r="B210" t="str">
        <f>"0001101263"</f>
        <v>0001101263</v>
      </c>
      <c r="C210" t="str">
        <f t="shared" si="53"/>
        <v xml:space="preserve">TR40/24 </v>
      </c>
      <c r="D210" t="str">
        <f>"99"</f>
        <v>99</v>
      </c>
      <c r="E210">
        <v>8.7219999999999995</v>
      </c>
      <c r="F210">
        <v>604</v>
      </c>
      <c r="G210" t="str">
        <f>"1031814482"</f>
        <v>1031814482</v>
      </c>
      <c r="H210" t="str">
        <f t="shared" si="56"/>
        <v>2025-12-01</v>
      </c>
      <c r="I210" t="str">
        <f>"2512018162"</f>
        <v>2512018162</v>
      </c>
      <c r="J210" t="str">
        <f t="shared" si="55"/>
        <v>DELIVERED</v>
      </c>
    </row>
    <row r="211" spans="1:10" x14ac:dyDescent="0.25">
      <c r="A211" t="str">
        <f>"0000114298"</f>
        <v>0000114298</v>
      </c>
      <c r="B211" t="str">
        <f>"0001101477"</f>
        <v>0001101477</v>
      </c>
      <c r="C211" t="str">
        <f t="shared" si="53"/>
        <v xml:space="preserve">TR40/24 </v>
      </c>
      <c r="D211" t="str">
        <f>"39"</f>
        <v>39</v>
      </c>
      <c r="E211">
        <v>13.231999999999999</v>
      </c>
      <c r="F211">
        <v>1214</v>
      </c>
      <c r="G211" t="str">
        <f>"1031803296"</f>
        <v>1031803296</v>
      </c>
      <c r="H211" t="str">
        <f t="shared" si="56"/>
        <v>2025-12-01</v>
      </c>
      <c r="I211" t="str">
        <f>"2512018209"</f>
        <v>2512018209</v>
      </c>
      <c r="J211" t="str">
        <f t="shared" si="55"/>
        <v>DELIVERED</v>
      </c>
    </row>
    <row r="212" spans="1:10" x14ac:dyDescent="0.25">
      <c r="A212" t="str">
        <f>"0000114298"</f>
        <v>0000114298</v>
      </c>
      <c r="B212" t="str">
        <f>"0001101477"</f>
        <v>0001101477</v>
      </c>
      <c r="C212" t="str">
        <f t="shared" si="53"/>
        <v xml:space="preserve">TR40/24 </v>
      </c>
      <c r="D212" t="str">
        <f>"39"</f>
        <v>39</v>
      </c>
      <c r="E212">
        <v>10.488</v>
      </c>
      <c r="F212">
        <v>4563</v>
      </c>
      <c r="G212" t="str">
        <f>"1031803316"</f>
        <v>1031803316</v>
      </c>
      <c r="H212" t="str">
        <f t="shared" si="56"/>
        <v>2025-12-01</v>
      </c>
      <c r="I212" t="str">
        <f>"2512018204"</f>
        <v>2512018204</v>
      </c>
      <c r="J212" t="str">
        <f t="shared" si="55"/>
        <v>DELIVERED</v>
      </c>
    </row>
    <row r="213" spans="1:10" x14ac:dyDescent="0.25">
      <c r="A213" t="str">
        <f>"0000114298"</f>
        <v>0000114298</v>
      </c>
      <c r="B213" t="str">
        <f>"0001101477"</f>
        <v>0001101477</v>
      </c>
      <c r="C213" t="str">
        <f t="shared" si="53"/>
        <v xml:space="preserve">TR40/24 </v>
      </c>
      <c r="D213" t="str">
        <f>"39"</f>
        <v>39</v>
      </c>
      <c r="E213">
        <v>16.373000000000001</v>
      </c>
      <c r="F213">
        <v>1570</v>
      </c>
      <c r="G213" t="str">
        <f>"1031803332"</f>
        <v>1031803332</v>
      </c>
      <c r="H213" t="str">
        <f t="shared" si="56"/>
        <v>2025-12-01</v>
      </c>
      <c r="I213" t="str">
        <f>"2512018209"</f>
        <v>2512018209</v>
      </c>
      <c r="J213" t="str">
        <f t="shared" si="55"/>
        <v>DELIVERED</v>
      </c>
    </row>
    <row r="214" spans="1:10" x14ac:dyDescent="0.25">
      <c r="A214" t="str">
        <f>"0000114298"</f>
        <v>0000114298</v>
      </c>
      <c r="B214" t="str">
        <f>"0001101477"</f>
        <v>0001101477</v>
      </c>
      <c r="C214" t="str">
        <f t="shared" ref="C214:C245" si="57">"TR40/24 "</f>
        <v xml:space="preserve">TR40/24 </v>
      </c>
      <c r="D214" t="str">
        <f>"39"</f>
        <v>39</v>
      </c>
      <c r="E214">
        <v>6.3879999999999999</v>
      </c>
      <c r="F214">
        <v>1817</v>
      </c>
      <c r="G214" t="str">
        <f>"1031808213"</f>
        <v>1031808213</v>
      </c>
      <c r="H214" t="str">
        <f t="shared" si="56"/>
        <v>2025-12-01</v>
      </c>
      <c r="I214" t="str">
        <f>"2512018204"</f>
        <v>2512018204</v>
      </c>
      <c r="J214" t="str">
        <f t="shared" si="55"/>
        <v>DELIVERED</v>
      </c>
    </row>
    <row r="215" spans="1:10" x14ac:dyDescent="0.25">
      <c r="A215" t="str">
        <f>"0000114323"</f>
        <v>0000114323</v>
      </c>
      <c r="B215" t="str">
        <f>"0001102757"</f>
        <v>0001102757</v>
      </c>
      <c r="C215" t="str">
        <f t="shared" si="57"/>
        <v xml:space="preserve">TR40/24 </v>
      </c>
      <c r="D215" t="str">
        <f>"73"</f>
        <v>73</v>
      </c>
      <c r="E215">
        <v>20.576000000000001</v>
      </c>
      <c r="F215">
        <v>9742</v>
      </c>
      <c r="G215" t="str">
        <f>"1031808751"</f>
        <v>1031808751</v>
      </c>
      <c r="H215" t="str">
        <f t="shared" si="56"/>
        <v>2025-12-01</v>
      </c>
      <c r="I215" t="str">
        <f>"2511195143"</f>
        <v>2511195143</v>
      </c>
      <c r="J215" t="str">
        <f t="shared" si="55"/>
        <v>DELIVERED</v>
      </c>
    </row>
    <row r="216" spans="1:10" x14ac:dyDescent="0.25">
      <c r="A216" t="str">
        <f>"0000114341"</f>
        <v>0000114341</v>
      </c>
      <c r="B216" t="str">
        <f>"0001103202"</f>
        <v>0001103202</v>
      </c>
      <c r="C216" t="str">
        <f t="shared" si="57"/>
        <v xml:space="preserve">TR40/24 </v>
      </c>
      <c r="D216" t="str">
        <f>"54"</f>
        <v>54</v>
      </c>
      <c r="E216">
        <v>2.589</v>
      </c>
      <c r="F216">
        <v>1093</v>
      </c>
      <c r="G216" t="str">
        <f>"1031807870"</f>
        <v>1031807870</v>
      </c>
      <c r="H216" t="str">
        <f t="shared" si="56"/>
        <v>2025-12-01</v>
      </c>
      <c r="I216" t="str">
        <f>"2512018210"</f>
        <v>2512018210</v>
      </c>
      <c r="J216" t="str">
        <f t="shared" si="55"/>
        <v>DELIVERED</v>
      </c>
    </row>
    <row r="217" spans="1:10" x14ac:dyDescent="0.25">
      <c r="A217" t="str">
        <f>"0000114341"</f>
        <v>0000114341</v>
      </c>
      <c r="B217" t="str">
        <f>"0001103202"</f>
        <v>0001103202</v>
      </c>
      <c r="C217" t="str">
        <f t="shared" si="57"/>
        <v xml:space="preserve">TR40/24 </v>
      </c>
      <c r="D217" t="str">
        <f>"54"</f>
        <v>54</v>
      </c>
      <c r="E217">
        <v>4.2210000000000001</v>
      </c>
      <c r="F217">
        <v>852</v>
      </c>
      <c r="G217" t="str">
        <f>"1031807879"</f>
        <v>1031807879</v>
      </c>
      <c r="H217" t="str">
        <f t="shared" si="56"/>
        <v>2025-12-01</v>
      </c>
      <c r="I217" t="str">
        <f>"2512018210"</f>
        <v>2512018210</v>
      </c>
      <c r="J217" t="str">
        <f t="shared" si="55"/>
        <v>DELIVERED</v>
      </c>
    </row>
    <row r="218" spans="1:10" x14ac:dyDescent="0.25">
      <c r="A218" t="str">
        <f>"0000114341"</f>
        <v>0000114341</v>
      </c>
      <c r="B218" t="str">
        <f>"0001103202"</f>
        <v>0001103202</v>
      </c>
      <c r="C218" t="str">
        <f t="shared" si="57"/>
        <v xml:space="preserve">TR40/24 </v>
      </c>
      <c r="D218" t="str">
        <f>"54"</f>
        <v>54</v>
      </c>
      <c r="E218">
        <v>0.94799999999999995</v>
      </c>
      <c r="F218">
        <v>626</v>
      </c>
      <c r="G218" t="str">
        <f>"1031807882"</f>
        <v>1031807882</v>
      </c>
      <c r="H218" t="str">
        <f t="shared" si="56"/>
        <v>2025-12-01</v>
      </c>
      <c r="I218" t="str">
        <f>"2512018210"</f>
        <v>2512018210</v>
      </c>
      <c r="J218" t="str">
        <f t="shared" si="55"/>
        <v>DELIVERED</v>
      </c>
    </row>
    <row r="219" spans="1:10" x14ac:dyDescent="0.25">
      <c r="A219" t="str">
        <f>"0000114341"</f>
        <v>0000114341</v>
      </c>
      <c r="B219" t="str">
        <f>"0001103202"</f>
        <v>0001103202</v>
      </c>
      <c r="C219" t="str">
        <f t="shared" si="57"/>
        <v xml:space="preserve">TR40/24 </v>
      </c>
      <c r="D219" t="str">
        <f>"54"</f>
        <v>54</v>
      </c>
      <c r="E219">
        <v>4.9539999999999997</v>
      </c>
      <c r="F219">
        <v>902</v>
      </c>
      <c r="G219" t="str">
        <f>"1031812253"</f>
        <v>1031812253</v>
      </c>
      <c r="H219" t="str">
        <f t="shared" si="56"/>
        <v>2025-12-01</v>
      </c>
      <c r="I219" t="str">
        <f>"2512018210"</f>
        <v>2512018210</v>
      </c>
      <c r="J219" t="str">
        <f t="shared" si="55"/>
        <v>DELIVERED</v>
      </c>
    </row>
    <row r="220" spans="1:10" x14ac:dyDescent="0.25">
      <c r="A220" t="str">
        <f>"0000114392"</f>
        <v>0000114392</v>
      </c>
      <c r="B220" t="str">
        <f>"0001102592"</f>
        <v>0001102592</v>
      </c>
      <c r="C220" t="str">
        <f t="shared" si="57"/>
        <v xml:space="preserve">TR40/24 </v>
      </c>
      <c r="D220" t="str">
        <f>"01"</f>
        <v>01</v>
      </c>
      <c r="E220">
        <v>9.8450000000000006</v>
      </c>
      <c r="F220">
        <v>1524</v>
      </c>
      <c r="G220" t="str">
        <f>"1031815176"</f>
        <v>1031815176</v>
      </c>
      <c r="H220" t="str">
        <f t="shared" si="56"/>
        <v>2025-12-01</v>
      </c>
      <c r="I220" t="str">
        <f>"2512018160"</f>
        <v>2512018160</v>
      </c>
      <c r="J220" t="str">
        <f t="shared" si="55"/>
        <v>DELIVERED</v>
      </c>
    </row>
    <row r="221" spans="1:10" x14ac:dyDescent="0.25">
      <c r="A221" t="str">
        <f>"0000114392"</f>
        <v>0000114392</v>
      </c>
      <c r="B221" t="str">
        <f>"0001102592"</f>
        <v>0001102592</v>
      </c>
      <c r="C221" t="str">
        <f t="shared" si="57"/>
        <v xml:space="preserve">TR40/24 </v>
      </c>
      <c r="D221" t="str">
        <f>"01"</f>
        <v>01</v>
      </c>
      <c r="E221">
        <v>340.23500000000001</v>
      </c>
      <c r="F221">
        <v>510</v>
      </c>
      <c r="G221" t="str">
        <f>"1031815177"</f>
        <v>1031815177</v>
      </c>
      <c r="H221" t="str">
        <f t="shared" si="56"/>
        <v>2025-12-01</v>
      </c>
      <c r="I221" t="str">
        <f>"2512018160"</f>
        <v>2512018160</v>
      </c>
      <c r="J221" t="str">
        <f t="shared" si="55"/>
        <v>DELIVERED</v>
      </c>
    </row>
    <row r="222" spans="1:10" x14ac:dyDescent="0.25">
      <c r="A222" t="str">
        <f>"0000114392"</f>
        <v>0000114392</v>
      </c>
      <c r="B222" t="str">
        <f>"0001102592"</f>
        <v>0001102592</v>
      </c>
      <c r="C222" t="str">
        <f t="shared" si="57"/>
        <v xml:space="preserve">TR40/24 </v>
      </c>
      <c r="D222" t="str">
        <f>"01"</f>
        <v>01</v>
      </c>
      <c r="E222">
        <v>1008.581</v>
      </c>
      <c r="F222">
        <v>1509</v>
      </c>
      <c r="G222" t="str">
        <f>"1031815462"</f>
        <v>1031815462</v>
      </c>
      <c r="H222" t="str">
        <f t="shared" si="56"/>
        <v>2025-12-01</v>
      </c>
      <c r="I222" t="str">
        <f>"2512018156"</f>
        <v>2512018156</v>
      </c>
      <c r="J222" t="str">
        <f t="shared" si="55"/>
        <v>DELIVERED</v>
      </c>
    </row>
    <row r="223" spans="1:10" x14ac:dyDescent="0.25">
      <c r="A223" t="str">
        <f>"0000114392"</f>
        <v>0000114392</v>
      </c>
      <c r="B223" t="str">
        <f>"0001102592"</f>
        <v>0001102592</v>
      </c>
      <c r="C223" t="str">
        <f t="shared" si="57"/>
        <v xml:space="preserve">TR40/24 </v>
      </c>
      <c r="D223" t="str">
        <f>"01"</f>
        <v>01</v>
      </c>
      <c r="E223">
        <v>24.227</v>
      </c>
      <c r="F223">
        <v>3870</v>
      </c>
      <c r="G223" t="str">
        <f>"1031815476"</f>
        <v>1031815476</v>
      </c>
      <c r="H223" t="str">
        <f t="shared" si="56"/>
        <v>2025-12-01</v>
      </c>
      <c r="I223" t="str">
        <f>"2512018156"</f>
        <v>2512018156</v>
      </c>
      <c r="J223" t="str">
        <f t="shared" si="55"/>
        <v>DELIVERED</v>
      </c>
    </row>
    <row r="224" spans="1:10" x14ac:dyDescent="0.25">
      <c r="A224" t="str">
        <f t="shared" ref="A224:A229" si="58">"0000114448"</f>
        <v>0000114448</v>
      </c>
      <c r="B224" t="str">
        <f t="shared" ref="B224:B229" si="59">"0001102113"</f>
        <v>0001102113</v>
      </c>
      <c r="C224" t="str">
        <f t="shared" si="57"/>
        <v xml:space="preserve">TR40/24 </v>
      </c>
      <c r="D224" t="str">
        <f t="shared" ref="D224:D229" si="60">"54"</f>
        <v>54</v>
      </c>
      <c r="E224">
        <v>6.7380000000000004</v>
      </c>
      <c r="F224">
        <v>1623</v>
      </c>
      <c r="G224" t="str">
        <f>"1031803733"</f>
        <v>1031803733</v>
      </c>
      <c r="H224" t="str">
        <f t="shared" si="56"/>
        <v>2025-12-01</v>
      </c>
      <c r="I224" t="str">
        <f>"2512018207"</f>
        <v>2512018207</v>
      </c>
      <c r="J224" t="str">
        <f t="shared" si="55"/>
        <v>DELIVERED</v>
      </c>
    </row>
    <row r="225" spans="1:10" x14ac:dyDescent="0.25">
      <c r="A225" t="str">
        <f t="shared" si="58"/>
        <v>0000114448</v>
      </c>
      <c r="B225" t="str">
        <f t="shared" si="59"/>
        <v>0001102113</v>
      </c>
      <c r="C225" t="str">
        <f t="shared" si="57"/>
        <v xml:space="preserve">TR40/24 </v>
      </c>
      <c r="D225" t="str">
        <f t="shared" si="60"/>
        <v>54</v>
      </c>
      <c r="E225">
        <v>5.0049999999999999</v>
      </c>
      <c r="F225">
        <v>1137</v>
      </c>
      <c r="G225" t="str">
        <f>"1031806529"</f>
        <v>1031806529</v>
      </c>
      <c r="H225" t="str">
        <f t="shared" si="56"/>
        <v>2025-12-01</v>
      </c>
      <c r="I225" t="str">
        <f>"2512018207"</f>
        <v>2512018207</v>
      </c>
      <c r="J225" t="str">
        <f t="shared" si="55"/>
        <v>DELIVERED</v>
      </c>
    </row>
    <row r="226" spans="1:10" x14ac:dyDescent="0.25">
      <c r="A226" t="str">
        <f t="shared" si="58"/>
        <v>0000114448</v>
      </c>
      <c r="B226" t="str">
        <f t="shared" si="59"/>
        <v>0001102113</v>
      </c>
      <c r="C226" t="str">
        <f t="shared" si="57"/>
        <v xml:space="preserve">TR40/24 </v>
      </c>
      <c r="D226" t="str">
        <f t="shared" si="60"/>
        <v>54</v>
      </c>
      <c r="E226">
        <v>5.5010000000000003</v>
      </c>
      <c r="F226">
        <v>2818</v>
      </c>
      <c r="G226" t="str">
        <f>"1031806530"</f>
        <v>1031806530</v>
      </c>
      <c r="H226" t="str">
        <f t="shared" si="56"/>
        <v>2025-12-01</v>
      </c>
      <c r="I226" t="str">
        <f>"2512018207"</f>
        <v>2512018207</v>
      </c>
      <c r="J226" t="str">
        <f t="shared" si="55"/>
        <v>DELIVERED</v>
      </c>
    </row>
    <row r="227" spans="1:10" x14ac:dyDescent="0.25">
      <c r="A227" t="str">
        <f t="shared" si="58"/>
        <v>0000114448</v>
      </c>
      <c r="B227" t="str">
        <f t="shared" si="59"/>
        <v>0001102113</v>
      </c>
      <c r="C227" t="str">
        <f t="shared" si="57"/>
        <v xml:space="preserve">TR40/24 </v>
      </c>
      <c r="D227" t="str">
        <f t="shared" si="60"/>
        <v>54</v>
      </c>
      <c r="E227">
        <v>4.3410000000000002</v>
      </c>
      <c r="F227">
        <v>1338</v>
      </c>
      <c r="G227" t="str">
        <f>"1031808413"</f>
        <v>1031808413</v>
      </c>
      <c r="H227" t="str">
        <f t="shared" si="56"/>
        <v>2025-12-01</v>
      </c>
      <c r="I227" t="str">
        <f>"2512018217"</f>
        <v>2512018217</v>
      </c>
      <c r="J227" t="str">
        <f t="shared" si="55"/>
        <v>DELIVERED</v>
      </c>
    </row>
    <row r="228" spans="1:10" x14ac:dyDescent="0.25">
      <c r="A228" t="str">
        <f t="shared" si="58"/>
        <v>0000114448</v>
      </c>
      <c r="B228" t="str">
        <f t="shared" si="59"/>
        <v>0001102113</v>
      </c>
      <c r="C228" t="str">
        <f t="shared" si="57"/>
        <v xml:space="preserve">TR40/24 </v>
      </c>
      <c r="D228" t="str">
        <f t="shared" si="60"/>
        <v>54</v>
      </c>
      <c r="E228">
        <v>7.85</v>
      </c>
      <c r="F228">
        <v>3037</v>
      </c>
      <c r="G228" t="str">
        <f>"1031809609"</f>
        <v>1031809609</v>
      </c>
      <c r="H228" t="str">
        <f t="shared" si="56"/>
        <v>2025-12-01</v>
      </c>
      <c r="I228" t="str">
        <f>"2512018201"</f>
        <v>2512018201</v>
      </c>
      <c r="J228" t="str">
        <f t="shared" si="55"/>
        <v>DELIVERED</v>
      </c>
    </row>
    <row r="229" spans="1:10" x14ac:dyDescent="0.25">
      <c r="A229" t="str">
        <f t="shared" si="58"/>
        <v>0000114448</v>
      </c>
      <c r="B229" t="str">
        <f t="shared" si="59"/>
        <v>0001102113</v>
      </c>
      <c r="C229" t="str">
        <f t="shared" si="57"/>
        <v xml:space="preserve">TR40/24 </v>
      </c>
      <c r="D229" t="str">
        <f t="shared" si="60"/>
        <v>54</v>
      </c>
      <c r="E229">
        <v>9.9130000000000003</v>
      </c>
      <c r="F229">
        <v>2797</v>
      </c>
      <c r="G229" t="str">
        <f>"1031811146"</f>
        <v>1031811146</v>
      </c>
      <c r="H229" t="str">
        <f t="shared" si="56"/>
        <v>2025-12-01</v>
      </c>
      <c r="I229" t="str">
        <f>"2512018201"</f>
        <v>2512018201</v>
      </c>
      <c r="J229" t="str">
        <f t="shared" si="55"/>
        <v>DELIVERED</v>
      </c>
    </row>
    <row r="230" spans="1:10" x14ac:dyDescent="0.25">
      <c r="A230" t="str">
        <f t="shared" ref="A230:A239" si="61">"0000114459"</f>
        <v>0000114459</v>
      </c>
      <c r="B230" t="str">
        <f t="shared" ref="B230:B239" si="62">"0001101481"</f>
        <v>0001101481</v>
      </c>
      <c r="C230" t="str">
        <f t="shared" si="57"/>
        <v xml:space="preserve">TR40/24 </v>
      </c>
      <c r="D230" t="str">
        <f t="shared" ref="D230:D239" si="63">"04"</f>
        <v>04</v>
      </c>
      <c r="E230">
        <v>97.117000000000004</v>
      </c>
      <c r="F230">
        <v>188</v>
      </c>
      <c r="G230" t="str">
        <f>"1031811429"</f>
        <v>1031811429</v>
      </c>
      <c r="H230" t="str">
        <f t="shared" si="56"/>
        <v>2025-12-01</v>
      </c>
      <c r="I230" t="str">
        <f t="shared" ref="I230:I239" si="64">"2512018148"</f>
        <v>2512018148</v>
      </c>
      <c r="J230" t="str">
        <f t="shared" si="55"/>
        <v>DELIVERED</v>
      </c>
    </row>
    <row r="231" spans="1:10" x14ac:dyDescent="0.25">
      <c r="A231" t="str">
        <f t="shared" si="61"/>
        <v>0000114459</v>
      </c>
      <c r="B231" t="str">
        <f t="shared" si="62"/>
        <v>0001101481</v>
      </c>
      <c r="C231" t="str">
        <f t="shared" si="57"/>
        <v xml:space="preserve">TR40/24 </v>
      </c>
      <c r="D231" t="str">
        <f t="shared" si="63"/>
        <v>04</v>
      </c>
      <c r="E231">
        <v>0.80700000000000005</v>
      </c>
      <c r="F231">
        <v>188</v>
      </c>
      <c r="G231" t="str">
        <f>"1031811431"</f>
        <v>1031811431</v>
      </c>
      <c r="H231" t="str">
        <f t="shared" si="56"/>
        <v>2025-12-01</v>
      </c>
      <c r="I231" t="str">
        <f t="shared" si="64"/>
        <v>2512018148</v>
      </c>
      <c r="J231" t="str">
        <f t="shared" si="55"/>
        <v>DELIVERED</v>
      </c>
    </row>
    <row r="232" spans="1:10" x14ac:dyDescent="0.25">
      <c r="A232" t="str">
        <f t="shared" si="61"/>
        <v>0000114459</v>
      </c>
      <c r="B232" t="str">
        <f t="shared" si="62"/>
        <v>0001101481</v>
      </c>
      <c r="C232" t="str">
        <f t="shared" si="57"/>
        <v xml:space="preserve">TR40/24 </v>
      </c>
      <c r="D232" t="str">
        <f t="shared" si="63"/>
        <v>04</v>
      </c>
      <c r="E232">
        <v>73.063999999999993</v>
      </c>
      <c r="F232">
        <v>108</v>
      </c>
      <c r="G232" t="str">
        <f>"1031811432"</f>
        <v>1031811432</v>
      </c>
      <c r="H232" t="str">
        <f t="shared" si="56"/>
        <v>2025-12-01</v>
      </c>
      <c r="I232" t="str">
        <f t="shared" si="64"/>
        <v>2512018148</v>
      </c>
      <c r="J232" t="str">
        <f t="shared" si="55"/>
        <v>DELIVERED</v>
      </c>
    </row>
    <row r="233" spans="1:10" x14ac:dyDescent="0.25">
      <c r="A233" t="str">
        <f t="shared" si="61"/>
        <v>0000114459</v>
      </c>
      <c r="B233" t="str">
        <f t="shared" si="62"/>
        <v>0001101481</v>
      </c>
      <c r="C233" t="str">
        <f t="shared" si="57"/>
        <v xml:space="preserve">TR40/24 </v>
      </c>
      <c r="D233" t="str">
        <f t="shared" si="63"/>
        <v>04</v>
      </c>
      <c r="E233">
        <v>1.8620000000000001</v>
      </c>
      <c r="F233">
        <v>243</v>
      </c>
      <c r="G233" t="str">
        <f>"1031811434"</f>
        <v>1031811434</v>
      </c>
      <c r="H233" t="str">
        <f t="shared" ref="H233:H264" si="65">"2025-12-01"</f>
        <v>2025-12-01</v>
      </c>
      <c r="I233" t="str">
        <f t="shared" si="64"/>
        <v>2512018148</v>
      </c>
      <c r="J233" t="str">
        <f t="shared" si="55"/>
        <v>DELIVERED</v>
      </c>
    </row>
    <row r="234" spans="1:10" x14ac:dyDescent="0.25">
      <c r="A234" t="str">
        <f t="shared" si="61"/>
        <v>0000114459</v>
      </c>
      <c r="B234" t="str">
        <f t="shared" si="62"/>
        <v>0001101481</v>
      </c>
      <c r="C234" t="str">
        <f t="shared" si="57"/>
        <v xml:space="preserve">TR40/24 </v>
      </c>
      <c r="D234" t="str">
        <f t="shared" si="63"/>
        <v>04</v>
      </c>
      <c r="E234">
        <v>2.8</v>
      </c>
      <c r="F234">
        <v>328</v>
      </c>
      <c r="G234" t="str">
        <f>"1031811435"</f>
        <v>1031811435</v>
      </c>
      <c r="H234" t="str">
        <f t="shared" si="65"/>
        <v>2025-12-01</v>
      </c>
      <c r="I234" t="str">
        <f t="shared" si="64"/>
        <v>2512018148</v>
      </c>
      <c r="J234" t="str">
        <f t="shared" si="55"/>
        <v>DELIVERED</v>
      </c>
    </row>
    <row r="235" spans="1:10" x14ac:dyDescent="0.25">
      <c r="A235" t="str">
        <f t="shared" si="61"/>
        <v>0000114459</v>
      </c>
      <c r="B235" t="str">
        <f t="shared" si="62"/>
        <v>0001101481</v>
      </c>
      <c r="C235" t="str">
        <f t="shared" si="57"/>
        <v xml:space="preserve">TR40/24 </v>
      </c>
      <c r="D235" t="str">
        <f t="shared" si="63"/>
        <v>04</v>
      </c>
      <c r="E235">
        <v>11.587</v>
      </c>
      <c r="F235">
        <v>1472</v>
      </c>
      <c r="G235" t="str">
        <f>"1031811436"</f>
        <v>1031811436</v>
      </c>
      <c r="H235" t="str">
        <f t="shared" si="65"/>
        <v>2025-12-01</v>
      </c>
      <c r="I235" t="str">
        <f t="shared" si="64"/>
        <v>2512018148</v>
      </c>
      <c r="J235" t="str">
        <f t="shared" si="55"/>
        <v>DELIVERED</v>
      </c>
    </row>
    <row r="236" spans="1:10" x14ac:dyDescent="0.25">
      <c r="A236" t="str">
        <f t="shared" si="61"/>
        <v>0000114459</v>
      </c>
      <c r="B236" t="str">
        <f t="shared" si="62"/>
        <v>0001101481</v>
      </c>
      <c r="C236" t="str">
        <f t="shared" si="57"/>
        <v xml:space="preserve">TR40/24 </v>
      </c>
      <c r="D236" t="str">
        <f t="shared" si="63"/>
        <v>04</v>
      </c>
      <c r="E236">
        <v>91.432000000000002</v>
      </c>
      <c r="F236">
        <v>176</v>
      </c>
      <c r="G236" t="str">
        <f>"1031811440"</f>
        <v>1031811440</v>
      </c>
      <c r="H236" t="str">
        <f t="shared" si="65"/>
        <v>2025-12-01</v>
      </c>
      <c r="I236" t="str">
        <f t="shared" si="64"/>
        <v>2512018148</v>
      </c>
      <c r="J236" t="str">
        <f t="shared" si="55"/>
        <v>DELIVERED</v>
      </c>
    </row>
    <row r="237" spans="1:10" x14ac:dyDescent="0.25">
      <c r="A237" t="str">
        <f t="shared" si="61"/>
        <v>0000114459</v>
      </c>
      <c r="B237" t="str">
        <f t="shared" si="62"/>
        <v>0001101481</v>
      </c>
      <c r="C237" t="str">
        <f t="shared" si="57"/>
        <v xml:space="preserve">TR40/24 </v>
      </c>
      <c r="D237" t="str">
        <f t="shared" si="63"/>
        <v>04</v>
      </c>
      <c r="E237">
        <v>120.142</v>
      </c>
      <c r="F237">
        <v>180</v>
      </c>
      <c r="G237" t="str">
        <f>"1031811441"</f>
        <v>1031811441</v>
      </c>
      <c r="H237" t="str">
        <f t="shared" si="65"/>
        <v>2025-12-01</v>
      </c>
      <c r="I237" t="str">
        <f t="shared" si="64"/>
        <v>2512018148</v>
      </c>
      <c r="J237" t="str">
        <f t="shared" si="55"/>
        <v>DELIVERED</v>
      </c>
    </row>
    <row r="238" spans="1:10" x14ac:dyDescent="0.25">
      <c r="A238" t="str">
        <f t="shared" si="61"/>
        <v>0000114459</v>
      </c>
      <c r="B238" t="str">
        <f t="shared" si="62"/>
        <v>0001101481</v>
      </c>
      <c r="C238" t="str">
        <f t="shared" si="57"/>
        <v xml:space="preserve">TR40/24 </v>
      </c>
      <c r="D238" t="str">
        <f t="shared" si="63"/>
        <v>04</v>
      </c>
      <c r="E238">
        <v>1.3360000000000001</v>
      </c>
      <c r="F238">
        <v>243</v>
      </c>
      <c r="G238" t="str">
        <f>"1031811444"</f>
        <v>1031811444</v>
      </c>
      <c r="H238" t="str">
        <f t="shared" si="65"/>
        <v>2025-12-01</v>
      </c>
      <c r="I238" t="str">
        <f t="shared" si="64"/>
        <v>2512018148</v>
      </c>
      <c r="J238" t="str">
        <f t="shared" si="55"/>
        <v>DELIVERED</v>
      </c>
    </row>
    <row r="239" spans="1:10" x14ac:dyDescent="0.25">
      <c r="A239" t="str">
        <f t="shared" si="61"/>
        <v>0000114459</v>
      </c>
      <c r="B239" t="str">
        <f t="shared" si="62"/>
        <v>0001101481</v>
      </c>
      <c r="C239" t="str">
        <f t="shared" si="57"/>
        <v xml:space="preserve">TR40/24 </v>
      </c>
      <c r="D239" t="str">
        <f t="shared" si="63"/>
        <v>04</v>
      </c>
      <c r="E239">
        <v>1.2629999999999999</v>
      </c>
      <c r="F239">
        <v>192</v>
      </c>
      <c r="G239" t="str">
        <f>"1031811447"</f>
        <v>1031811447</v>
      </c>
      <c r="H239" t="str">
        <f t="shared" si="65"/>
        <v>2025-12-01</v>
      </c>
      <c r="I239" t="str">
        <f t="shared" si="64"/>
        <v>2512018148</v>
      </c>
      <c r="J239" t="str">
        <f t="shared" si="55"/>
        <v>DELIVERED</v>
      </c>
    </row>
    <row r="240" spans="1:10" x14ac:dyDescent="0.25">
      <c r="A240" t="str">
        <f>"0000114468"</f>
        <v>0000114468</v>
      </c>
      <c r="B240" t="str">
        <f>"0001101253"</f>
        <v>0001101253</v>
      </c>
      <c r="C240" t="str">
        <f t="shared" si="57"/>
        <v xml:space="preserve">TR40/24 </v>
      </c>
      <c r="D240" t="str">
        <f>"68"</f>
        <v>68</v>
      </c>
      <c r="E240">
        <v>6.3639999999999999</v>
      </c>
      <c r="F240">
        <v>2499</v>
      </c>
      <c r="G240" t="str">
        <f>"1031809991"</f>
        <v>1031809991</v>
      </c>
      <c r="H240" t="str">
        <f t="shared" si="65"/>
        <v>2025-12-01</v>
      </c>
      <c r="I240" t="str">
        <f>"2511287663"</f>
        <v>2511287663</v>
      </c>
      <c r="J240" t="str">
        <f t="shared" si="55"/>
        <v>DELIVERED</v>
      </c>
    </row>
    <row r="241" spans="1:10" x14ac:dyDescent="0.25">
      <c r="A241" t="str">
        <f>"0000114468"</f>
        <v>0000114468</v>
      </c>
      <c r="B241" t="str">
        <f>"0001101253"</f>
        <v>0001101253</v>
      </c>
      <c r="C241" t="str">
        <f t="shared" si="57"/>
        <v xml:space="preserve">TR40/24 </v>
      </c>
      <c r="D241" t="str">
        <f>"68"</f>
        <v>68</v>
      </c>
      <c r="E241">
        <v>7.7530000000000001</v>
      </c>
      <c r="F241">
        <v>2237</v>
      </c>
      <c r="G241" t="str">
        <f>"1031810862"</f>
        <v>1031810862</v>
      </c>
      <c r="H241" t="str">
        <f t="shared" si="65"/>
        <v>2025-12-01</v>
      </c>
      <c r="I241" t="str">
        <f>"2511287663"</f>
        <v>2511287663</v>
      </c>
      <c r="J241" t="str">
        <f t="shared" si="55"/>
        <v>DELIVERED</v>
      </c>
    </row>
    <row r="242" spans="1:10" x14ac:dyDescent="0.25">
      <c r="A242" t="str">
        <f>"0000114468"</f>
        <v>0000114468</v>
      </c>
      <c r="B242" t="str">
        <f>"0001101253"</f>
        <v>0001101253</v>
      </c>
      <c r="C242" t="str">
        <f t="shared" si="57"/>
        <v xml:space="preserve">TR40/24 </v>
      </c>
      <c r="D242" t="str">
        <f>"68"</f>
        <v>68</v>
      </c>
      <c r="E242">
        <v>13.522</v>
      </c>
      <c r="F242">
        <v>2613</v>
      </c>
      <c r="G242" t="str">
        <f>"1031813527"</f>
        <v>1031813527</v>
      </c>
      <c r="H242" t="str">
        <f t="shared" si="65"/>
        <v>2025-12-01</v>
      </c>
      <c r="I242" t="str">
        <f>"2512017446"</f>
        <v>2512017446</v>
      </c>
      <c r="J242" t="str">
        <f t="shared" si="55"/>
        <v>DELIVERED</v>
      </c>
    </row>
    <row r="243" spans="1:10" x14ac:dyDescent="0.25">
      <c r="A243" t="str">
        <f>"0000114474"</f>
        <v>0000114474</v>
      </c>
      <c r="B243" t="str">
        <f>"0001101663"</f>
        <v>0001101663</v>
      </c>
      <c r="C243" t="str">
        <f t="shared" si="57"/>
        <v xml:space="preserve">TR40/24 </v>
      </c>
      <c r="D243" t="str">
        <f>"73"</f>
        <v>73</v>
      </c>
      <c r="E243">
        <v>10.602</v>
      </c>
      <c r="F243">
        <v>462</v>
      </c>
      <c r="G243" t="str">
        <f>"1031815148"</f>
        <v>1031815148</v>
      </c>
      <c r="H243" t="str">
        <f t="shared" si="65"/>
        <v>2025-12-01</v>
      </c>
      <c r="I243" t="str">
        <f>"2512018195"</f>
        <v>2512018195</v>
      </c>
      <c r="J243" t="str">
        <f t="shared" si="55"/>
        <v>DELIVERED</v>
      </c>
    </row>
    <row r="244" spans="1:10" x14ac:dyDescent="0.25">
      <c r="A244" t="str">
        <f>"0000114500"</f>
        <v>0000114500</v>
      </c>
      <c r="B244" t="str">
        <f>"0001101203"</f>
        <v>0001101203</v>
      </c>
      <c r="C244" t="str">
        <f t="shared" si="57"/>
        <v xml:space="preserve">TR40/24 </v>
      </c>
      <c r="D244" t="str">
        <f>"80"</f>
        <v>80</v>
      </c>
      <c r="E244">
        <v>4.6619999999999999</v>
      </c>
      <c r="F244">
        <v>2336</v>
      </c>
      <c r="G244" t="str">
        <f>"1031815053"</f>
        <v>1031815053</v>
      </c>
      <c r="H244" t="str">
        <f t="shared" si="65"/>
        <v>2025-12-01</v>
      </c>
      <c r="I244" t="str">
        <f>"2512018219"</f>
        <v>2512018219</v>
      </c>
      <c r="J244" t="str">
        <f t="shared" si="55"/>
        <v>DELIVERED</v>
      </c>
    </row>
    <row r="245" spans="1:10" x14ac:dyDescent="0.25">
      <c r="A245" t="str">
        <f>"0000114500"</f>
        <v>0000114500</v>
      </c>
      <c r="B245" t="str">
        <f>"0001101203"</f>
        <v>0001101203</v>
      </c>
      <c r="C245" t="str">
        <f t="shared" si="57"/>
        <v xml:space="preserve">TR40/24 </v>
      </c>
      <c r="D245" t="str">
        <f>"80"</f>
        <v>80</v>
      </c>
      <c r="E245">
        <v>5.4210000000000003</v>
      </c>
      <c r="F245">
        <v>1840</v>
      </c>
      <c r="G245" t="str">
        <f>"1031815054"</f>
        <v>1031815054</v>
      </c>
      <c r="H245" t="str">
        <f t="shared" si="65"/>
        <v>2025-12-01</v>
      </c>
      <c r="I245" t="str">
        <f>"2512018219"</f>
        <v>2512018219</v>
      </c>
      <c r="J245" t="str">
        <f t="shared" si="55"/>
        <v>DELIVERED</v>
      </c>
    </row>
    <row r="246" spans="1:10" x14ac:dyDescent="0.25">
      <c r="A246" t="str">
        <f>"0000114500"</f>
        <v>0000114500</v>
      </c>
      <c r="B246" t="str">
        <f>"0001101203"</f>
        <v>0001101203</v>
      </c>
      <c r="C246" t="str">
        <f t="shared" ref="C246:C260" si="66">"TR40/24 "</f>
        <v xml:space="preserve">TR40/24 </v>
      </c>
      <c r="D246" t="str">
        <f>"80"</f>
        <v>80</v>
      </c>
      <c r="E246">
        <v>2.6659999999999999</v>
      </c>
      <c r="F246">
        <v>1171</v>
      </c>
      <c r="G246" t="str">
        <f>"1031815070"</f>
        <v>1031815070</v>
      </c>
      <c r="H246" t="str">
        <f t="shared" si="65"/>
        <v>2025-12-01</v>
      </c>
      <c r="I246" t="str">
        <f>"2512018219"</f>
        <v>2512018219</v>
      </c>
      <c r="J246" t="str">
        <f t="shared" si="55"/>
        <v>DELIVERED</v>
      </c>
    </row>
    <row r="247" spans="1:10" x14ac:dyDescent="0.25">
      <c r="A247" t="str">
        <f>"0000114524"</f>
        <v>0000114524</v>
      </c>
      <c r="B247" t="str">
        <f>"0001104832"</f>
        <v>0001104832</v>
      </c>
      <c r="C247" t="str">
        <f t="shared" si="66"/>
        <v xml:space="preserve">TR40/24 </v>
      </c>
      <c r="D247" t="str">
        <f>"63"</f>
        <v>63</v>
      </c>
      <c r="E247">
        <v>0.54400000000000004</v>
      </c>
      <c r="F247">
        <v>160</v>
      </c>
      <c r="G247" t="str">
        <f>"1031812312"</f>
        <v>1031812312</v>
      </c>
      <c r="H247" t="str">
        <f t="shared" si="65"/>
        <v>2025-12-01</v>
      </c>
      <c r="I247" t="str">
        <f>"2512018211"</f>
        <v>2512018211</v>
      </c>
      <c r="J247" t="str">
        <f t="shared" si="55"/>
        <v>DELIVERED</v>
      </c>
    </row>
    <row r="248" spans="1:10" x14ac:dyDescent="0.25">
      <c r="A248" t="str">
        <f t="shared" ref="A248:A258" si="67">"0000114559"</f>
        <v>0000114559</v>
      </c>
      <c r="B248" t="str">
        <f t="shared" ref="B248:B258" si="68">"0001101672"</f>
        <v>0001101672</v>
      </c>
      <c r="C248" t="str">
        <f t="shared" si="66"/>
        <v xml:space="preserve">TR40/24 </v>
      </c>
      <c r="D248" t="str">
        <f t="shared" ref="D248:D258" si="69">"64"</f>
        <v>64</v>
      </c>
      <c r="E248">
        <v>5.2869999999999999</v>
      </c>
      <c r="F248">
        <v>477</v>
      </c>
      <c r="G248" t="str">
        <f>"1031815389"</f>
        <v>1031815389</v>
      </c>
      <c r="H248" t="str">
        <f t="shared" si="65"/>
        <v>2025-12-01</v>
      </c>
      <c r="I248" t="str">
        <f>"2512017778"</f>
        <v>2512017778</v>
      </c>
      <c r="J248" t="str">
        <f t="shared" si="55"/>
        <v>DELIVERED</v>
      </c>
    </row>
    <row r="249" spans="1:10" x14ac:dyDescent="0.25">
      <c r="A249" t="str">
        <f t="shared" si="67"/>
        <v>0000114559</v>
      </c>
      <c r="B249" t="str">
        <f t="shared" si="68"/>
        <v>0001101672</v>
      </c>
      <c r="C249" t="str">
        <f t="shared" si="66"/>
        <v xml:space="preserve">TR40/24 </v>
      </c>
      <c r="D249" t="str">
        <f t="shared" si="69"/>
        <v>64</v>
      </c>
      <c r="E249">
        <v>0.27900000000000003</v>
      </c>
      <c r="F249">
        <v>36</v>
      </c>
      <c r="G249" t="str">
        <f>"1031815390"</f>
        <v>1031815390</v>
      </c>
      <c r="H249" t="str">
        <f t="shared" si="65"/>
        <v>2025-12-01</v>
      </c>
      <c r="I249" t="str">
        <f>"2512017778"</f>
        <v>2512017778</v>
      </c>
      <c r="J249" t="str">
        <f t="shared" si="55"/>
        <v>DELIVERED</v>
      </c>
    </row>
    <row r="250" spans="1:10" x14ac:dyDescent="0.25">
      <c r="A250" t="str">
        <f t="shared" si="67"/>
        <v>0000114559</v>
      </c>
      <c r="B250" t="str">
        <f t="shared" si="68"/>
        <v>0001101672</v>
      </c>
      <c r="C250" t="str">
        <f t="shared" si="66"/>
        <v xml:space="preserve">TR40/24 </v>
      </c>
      <c r="D250" t="str">
        <f t="shared" si="69"/>
        <v>64</v>
      </c>
      <c r="E250">
        <v>12.898999999999999</v>
      </c>
      <c r="F250">
        <v>824</v>
      </c>
      <c r="G250" t="str">
        <f>"1031815391"</f>
        <v>1031815391</v>
      </c>
      <c r="H250" t="str">
        <f t="shared" si="65"/>
        <v>2025-12-01</v>
      </c>
      <c r="I250" t="str">
        <f>"2512017778"</f>
        <v>2512017778</v>
      </c>
      <c r="J250" t="str">
        <f t="shared" si="55"/>
        <v>DELIVERED</v>
      </c>
    </row>
    <row r="251" spans="1:10" x14ac:dyDescent="0.25">
      <c r="A251" t="str">
        <f t="shared" si="67"/>
        <v>0000114559</v>
      </c>
      <c r="B251" t="str">
        <f t="shared" si="68"/>
        <v>0001101672</v>
      </c>
      <c r="C251" t="str">
        <f t="shared" si="66"/>
        <v xml:space="preserve">TR40/24 </v>
      </c>
      <c r="D251" t="str">
        <f t="shared" si="69"/>
        <v>64</v>
      </c>
      <c r="E251">
        <v>13.824999999999999</v>
      </c>
      <c r="F251">
        <v>1312</v>
      </c>
      <c r="G251" t="str">
        <f>"1031815485"</f>
        <v>1031815485</v>
      </c>
      <c r="H251" t="str">
        <f t="shared" si="65"/>
        <v>2025-12-01</v>
      </c>
      <c r="I251" t="str">
        <f>"2512017934"</f>
        <v>2512017934</v>
      </c>
      <c r="J251" t="str">
        <f t="shared" si="55"/>
        <v>DELIVERED</v>
      </c>
    </row>
    <row r="252" spans="1:10" x14ac:dyDescent="0.25">
      <c r="A252" t="str">
        <f t="shared" si="67"/>
        <v>0000114559</v>
      </c>
      <c r="B252" t="str">
        <f t="shared" si="68"/>
        <v>0001101672</v>
      </c>
      <c r="C252" t="str">
        <f t="shared" si="66"/>
        <v xml:space="preserve">TR40/24 </v>
      </c>
      <c r="D252" t="str">
        <f t="shared" si="69"/>
        <v>64</v>
      </c>
      <c r="E252">
        <v>5.2510000000000003</v>
      </c>
      <c r="F252">
        <v>704</v>
      </c>
      <c r="G252" t="str">
        <f>"1031815486"</f>
        <v>1031815486</v>
      </c>
      <c r="H252" t="str">
        <f t="shared" si="65"/>
        <v>2025-12-01</v>
      </c>
      <c r="I252" t="str">
        <f>"2512017934"</f>
        <v>2512017934</v>
      </c>
      <c r="J252" t="str">
        <f t="shared" si="55"/>
        <v>DELIVERED</v>
      </c>
    </row>
    <row r="253" spans="1:10" x14ac:dyDescent="0.25">
      <c r="A253" t="str">
        <f t="shared" si="67"/>
        <v>0000114559</v>
      </c>
      <c r="B253" t="str">
        <f t="shared" si="68"/>
        <v>0001101672</v>
      </c>
      <c r="C253" t="str">
        <f t="shared" si="66"/>
        <v xml:space="preserve">TR40/24 </v>
      </c>
      <c r="D253" t="str">
        <f t="shared" si="69"/>
        <v>64</v>
      </c>
      <c r="E253">
        <v>2.5419999999999998</v>
      </c>
      <c r="F253">
        <v>788</v>
      </c>
      <c r="G253" t="str">
        <f>"1031815636"</f>
        <v>1031815636</v>
      </c>
      <c r="H253" t="str">
        <f t="shared" si="65"/>
        <v>2025-12-01</v>
      </c>
      <c r="I253" t="str">
        <f>"2512018213"</f>
        <v>2512018213</v>
      </c>
      <c r="J253" t="str">
        <f t="shared" si="55"/>
        <v>DELIVERED</v>
      </c>
    </row>
    <row r="254" spans="1:10" x14ac:dyDescent="0.25">
      <c r="A254" t="str">
        <f t="shared" si="67"/>
        <v>0000114559</v>
      </c>
      <c r="B254" t="str">
        <f t="shared" si="68"/>
        <v>0001101672</v>
      </c>
      <c r="C254" t="str">
        <f t="shared" si="66"/>
        <v xml:space="preserve">TR40/24 </v>
      </c>
      <c r="D254" t="str">
        <f t="shared" si="69"/>
        <v>64</v>
      </c>
      <c r="E254">
        <v>23.05</v>
      </c>
      <c r="F254">
        <v>2167</v>
      </c>
      <c r="G254" t="str">
        <f>"1031815662"</f>
        <v>1031815662</v>
      </c>
      <c r="H254" t="str">
        <f t="shared" si="65"/>
        <v>2025-12-01</v>
      </c>
      <c r="I254" t="str">
        <f>"2512018193"</f>
        <v>2512018193</v>
      </c>
      <c r="J254" t="str">
        <f t="shared" si="55"/>
        <v>DELIVERED</v>
      </c>
    </row>
    <row r="255" spans="1:10" x14ac:dyDescent="0.25">
      <c r="A255" t="str">
        <f t="shared" si="67"/>
        <v>0000114559</v>
      </c>
      <c r="B255" t="str">
        <f t="shared" si="68"/>
        <v>0001101672</v>
      </c>
      <c r="C255" t="str">
        <f t="shared" si="66"/>
        <v xml:space="preserve">TR40/24 </v>
      </c>
      <c r="D255" t="str">
        <f t="shared" si="69"/>
        <v>64</v>
      </c>
      <c r="E255">
        <v>3.3450000000000002</v>
      </c>
      <c r="F255">
        <v>403</v>
      </c>
      <c r="G255" t="str">
        <f>"1031815852"</f>
        <v>1031815852</v>
      </c>
      <c r="H255" t="str">
        <f t="shared" si="65"/>
        <v>2025-12-01</v>
      </c>
      <c r="I255" t="str">
        <f>"2512018213"</f>
        <v>2512018213</v>
      </c>
      <c r="J255" t="str">
        <f t="shared" si="55"/>
        <v>DELIVERED</v>
      </c>
    </row>
    <row r="256" spans="1:10" x14ac:dyDescent="0.25">
      <c r="A256" t="str">
        <f t="shared" si="67"/>
        <v>0000114559</v>
      </c>
      <c r="B256" t="str">
        <f t="shared" si="68"/>
        <v>0001101672</v>
      </c>
      <c r="C256" t="str">
        <f t="shared" si="66"/>
        <v xml:space="preserve">TR40/24 </v>
      </c>
      <c r="D256" t="str">
        <f t="shared" si="69"/>
        <v>64</v>
      </c>
      <c r="E256">
        <v>6.1849999999999996</v>
      </c>
      <c r="F256">
        <v>391</v>
      </c>
      <c r="G256" t="str">
        <f>"1031815853"</f>
        <v>1031815853</v>
      </c>
      <c r="H256" t="str">
        <f t="shared" si="65"/>
        <v>2025-12-01</v>
      </c>
      <c r="I256" t="str">
        <f>"2512018213"</f>
        <v>2512018213</v>
      </c>
      <c r="J256" t="str">
        <f t="shared" si="55"/>
        <v>DELIVERED</v>
      </c>
    </row>
    <row r="257" spans="1:10" x14ac:dyDescent="0.25">
      <c r="A257" t="str">
        <f t="shared" si="67"/>
        <v>0000114559</v>
      </c>
      <c r="B257" t="str">
        <f t="shared" si="68"/>
        <v>0001101672</v>
      </c>
      <c r="C257" t="str">
        <f t="shared" si="66"/>
        <v xml:space="preserve">TR40/24 </v>
      </c>
      <c r="D257" t="str">
        <f t="shared" si="69"/>
        <v>64</v>
      </c>
      <c r="E257">
        <v>2.0379999999999998</v>
      </c>
      <c r="F257">
        <v>217</v>
      </c>
      <c r="G257" t="str">
        <f>"1031815854"</f>
        <v>1031815854</v>
      </c>
      <c r="H257" t="str">
        <f t="shared" si="65"/>
        <v>2025-12-01</v>
      </c>
      <c r="I257" t="str">
        <f>"2512018213"</f>
        <v>2512018213</v>
      </c>
      <c r="J257" t="str">
        <f t="shared" si="55"/>
        <v>DELIVERED</v>
      </c>
    </row>
    <row r="258" spans="1:10" x14ac:dyDescent="0.25">
      <c r="A258" t="str">
        <f t="shared" si="67"/>
        <v>0000114559</v>
      </c>
      <c r="B258" t="str">
        <f t="shared" si="68"/>
        <v>0001101672</v>
      </c>
      <c r="C258" t="str">
        <f t="shared" si="66"/>
        <v xml:space="preserve">TR40/24 </v>
      </c>
      <c r="D258" t="str">
        <f t="shared" si="69"/>
        <v>64</v>
      </c>
      <c r="E258">
        <v>0.20300000000000001</v>
      </c>
      <c r="F258">
        <v>27</v>
      </c>
      <c r="G258" t="str">
        <f>"1031815855"</f>
        <v>1031815855</v>
      </c>
      <c r="H258" t="str">
        <f t="shared" si="65"/>
        <v>2025-12-01</v>
      </c>
      <c r="I258" t="str">
        <f>"2512018213"</f>
        <v>2512018213</v>
      </c>
      <c r="J258" t="str">
        <f t="shared" ref="J258:J300" si="70">"DELIVERED"</f>
        <v>DELIVERED</v>
      </c>
    </row>
    <row r="259" spans="1:10" x14ac:dyDescent="0.25">
      <c r="A259" t="str">
        <f>"0000114599"</f>
        <v>0000114599</v>
      </c>
      <c r="B259" t="str">
        <f>"0001101301"</f>
        <v>0001101301</v>
      </c>
      <c r="C259" t="str">
        <f t="shared" si="66"/>
        <v xml:space="preserve">TR40/24 </v>
      </c>
      <c r="D259" t="str">
        <f>"07"</f>
        <v>07</v>
      </c>
      <c r="E259">
        <v>2.4E-2</v>
      </c>
      <c r="F259">
        <v>36</v>
      </c>
      <c r="G259" t="str">
        <f>"1031814667"</f>
        <v>1031814667</v>
      </c>
      <c r="H259" t="str">
        <f t="shared" si="65"/>
        <v>2025-12-01</v>
      </c>
      <c r="I259" t="str">
        <f>"2512018614"</f>
        <v>2512018614</v>
      </c>
      <c r="J259" t="str">
        <f t="shared" si="70"/>
        <v>DELIVERED</v>
      </c>
    </row>
    <row r="260" spans="1:10" x14ac:dyDescent="0.25">
      <c r="A260" t="str">
        <f>"0000114599"</f>
        <v>0000114599</v>
      </c>
      <c r="B260" t="str">
        <f>"0001101301"</f>
        <v>0001101301</v>
      </c>
      <c r="C260" t="str">
        <f t="shared" si="66"/>
        <v xml:space="preserve">TR40/24 </v>
      </c>
      <c r="D260" t="str">
        <f>"07"</f>
        <v>07</v>
      </c>
      <c r="E260">
        <v>726.21400000000006</v>
      </c>
      <c r="F260">
        <v>1448</v>
      </c>
      <c r="G260" t="str">
        <f>"1031814668"</f>
        <v>1031814668</v>
      </c>
      <c r="H260" t="str">
        <f t="shared" si="65"/>
        <v>2025-12-01</v>
      </c>
      <c r="I260" t="str">
        <f>"2512018614"</f>
        <v>2512018614</v>
      </c>
      <c r="J260" t="str">
        <f t="shared" si="70"/>
        <v>DELIVERED</v>
      </c>
    </row>
    <row r="261" spans="1:10" x14ac:dyDescent="0.25">
      <c r="A261" t="str">
        <f>"0000114632"</f>
        <v>0000114632</v>
      </c>
      <c r="B261" t="str">
        <f>"0001101477"</f>
        <v>0001101477</v>
      </c>
      <c r="C261" t="str">
        <f>"LB30    "</f>
        <v xml:space="preserve">LB30    </v>
      </c>
      <c r="D261" t="str">
        <f>"76"</f>
        <v>76</v>
      </c>
      <c r="E261">
        <v>10.840999999999999</v>
      </c>
      <c r="F261">
        <v>2260</v>
      </c>
      <c r="G261" t="str">
        <f>"1031811128"</f>
        <v>1031811128</v>
      </c>
      <c r="H261" t="str">
        <f t="shared" si="65"/>
        <v>2025-12-01</v>
      </c>
      <c r="I261" t="str">
        <f>"2512018224"</f>
        <v>2512018224</v>
      </c>
      <c r="J261" t="str">
        <f t="shared" si="70"/>
        <v>DELIVERED</v>
      </c>
    </row>
    <row r="262" spans="1:10" x14ac:dyDescent="0.25">
      <c r="A262" t="str">
        <f>"0000114632"</f>
        <v>0000114632</v>
      </c>
      <c r="B262" t="str">
        <f>"0001101477"</f>
        <v>0001101477</v>
      </c>
      <c r="C262" t="str">
        <f>"LB30    "</f>
        <v xml:space="preserve">LB30    </v>
      </c>
      <c r="D262" t="str">
        <f>"76"</f>
        <v>76</v>
      </c>
      <c r="E262">
        <v>9.6850000000000005</v>
      </c>
      <c r="F262">
        <v>1308</v>
      </c>
      <c r="G262" t="str">
        <f>"1031811129"</f>
        <v>1031811129</v>
      </c>
      <c r="H262" t="str">
        <f t="shared" si="65"/>
        <v>2025-12-01</v>
      </c>
      <c r="I262" t="str">
        <f>"2512018224"</f>
        <v>2512018224</v>
      </c>
      <c r="J262" t="str">
        <f t="shared" si="70"/>
        <v>DELIVERED</v>
      </c>
    </row>
    <row r="263" spans="1:10" x14ac:dyDescent="0.25">
      <c r="A263" t="str">
        <f>"0000114632"</f>
        <v>0000114632</v>
      </c>
      <c r="B263" t="str">
        <f>"0001101477"</f>
        <v>0001101477</v>
      </c>
      <c r="C263" t="str">
        <f>"LB30    "</f>
        <v xml:space="preserve">LB30    </v>
      </c>
      <c r="D263" t="str">
        <f>"76"</f>
        <v>76</v>
      </c>
      <c r="E263">
        <v>5.2510000000000003</v>
      </c>
      <c r="F263">
        <v>725</v>
      </c>
      <c r="G263" t="str">
        <f>"1031811130"</f>
        <v>1031811130</v>
      </c>
      <c r="H263" t="str">
        <f t="shared" si="65"/>
        <v>2025-12-01</v>
      </c>
      <c r="I263" t="str">
        <f>"2512018224"</f>
        <v>2512018224</v>
      </c>
      <c r="J263" t="str">
        <f t="shared" si="70"/>
        <v>DELIVERED</v>
      </c>
    </row>
    <row r="264" spans="1:10" x14ac:dyDescent="0.25">
      <c r="A264" t="str">
        <f t="shared" ref="A264:A270" si="71">"0000114649"</f>
        <v>0000114649</v>
      </c>
      <c r="B264" t="str">
        <f t="shared" ref="B264:B270" si="72">"0001104567"</f>
        <v>0001104567</v>
      </c>
      <c r="C264" t="str">
        <f t="shared" ref="C264:C288" si="73">"TR40/24 "</f>
        <v xml:space="preserve">TR40/24 </v>
      </c>
      <c r="D264" t="str">
        <f t="shared" ref="D264:D270" si="74">"59"</f>
        <v>59</v>
      </c>
      <c r="E264">
        <v>10.557</v>
      </c>
      <c r="F264">
        <v>1736</v>
      </c>
      <c r="G264" t="str">
        <f>"1031811478"</f>
        <v>1031811478</v>
      </c>
      <c r="H264" t="str">
        <f t="shared" si="65"/>
        <v>2025-12-01</v>
      </c>
      <c r="I264" t="str">
        <f t="shared" ref="I264:I270" si="75">"2512018202"</f>
        <v>2512018202</v>
      </c>
      <c r="J264" t="str">
        <f t="shared" si="70"/>
        <v>DELIVERED</v>
      </c>
    </row>
    <row r="265" spans="1:10" x14ac:dyDescent="0.25">
      <c r="A265" t="str">
        <f t="shared" si="71"/>
        <v>0000114649</v>
      </c>
      <c r="B265" t="str">
        <f t="shared" si="72"/>
        <v>0001104567</v>
      </c>
      <c r="C265" t="str">
        <f t="shared" si="73"/>
        <v xml:space="preserve">TR40/24 </v>
      </c>
      <c r="D265" t="str">
        <f t="shared" si="74"/>
        <v>59</v>
      </c>
      <c r="E265">
        <v>1.5960000000000001</v>
      </c>
      <c r="F265">
        <v>936</v>
      </c>
      <c r="G265" t="str">
        <f>"1031811479"</f>
        <v>1031811479</v>
      </c>
      <c r="H265" t="str">
        <f t="shared" ref="H265:H295" si="76">"2025-12-01"</f>
        <v>2025-12-01</v>
      </c>
      <c r="I265" t="str">
        <f t="shared" si="75"/>
        <v>2512018202</v>
      </c>
      <c r="J265" t="str">
        <f t="shared" si="70"/>
        <v>DELIVERED</v>
      </c>
    </row>
    <row r="266" spans="1:10" x14ac:dyDescent="0.25">
      <c r="A266" t="str">
        <f t="shared" si="71"/>
        <v>0000114649</v>
      </c>
      <c r="B266" t="str">
        <f t="shared" si="72"/>
        <v>0001104567</v>
      </c>
      <c r="C266" t="str">
        <f t="shared" si="73"/>
        <v xml:space="preserve">TR40/24 </v>
      </c>
      <c r="D266" t="str">
        <f t="shared" si="74"/>
        <v>59</v>
      </c>
      <c r="E266">
        <v>1.169</v>
      </c>
      <c r="F266">
        <v>420</v>
      </c>
      <c r="G266" t="str">
        <f>"1031811480"</f>
        <v>1031811480</v>
      </c>
      <c r="H266" t="str">
        <f t="shared" si="76"/>
        <v>2025-12-01</v>
      </c>
      <c r="I266" t="str">
        <f t="shared" si="75"/>
        <v>2512018202</v>
      </c>
      <c r="J266" t="str">
        <f t="shared" si="70"/>
        <v>DELIVERED</v>
      </c>
    </row>
    <row r="267" spans="1:10" x14ac:dyDescent="0.25">
      <c r="A267" t="str">
        <f t="shared" si="71"/>
        <v>0000114649</v>
      </c>
      <c r="B267" t="str">
        <f t="shared" si="72"/>
        <v>0001104567</v>
      </c>
      <c r="C267" t="str">
        <f t="shared" si="73"/>
        <v xml:space="preserve">TR40/24 </v>
      </c>
      <c r="D267" t="str">
        <f t="shared" si="74"/>
        <v>59</v>
      </c>
      <c r="E267">
        <v>0.98399999999999999</v>
      </c>
      <c r="F267">
        <v>305</v>
      </c>
      <c r="G267" t="str">
        <f>"1031811481"</f>
        <v>1031811481</v>
      </c>
      <c r="H267" t="str">
        <f t="shared" si="76"/>
        <v>2025-12-01</v>
      </c>
      <c r="I267" t="str">
        <f t="shared" si="75"/>
        <v>2512018202</v>
      </c>
      <c r="J267" t="str">
        <f t="shared" si="70"/>
        <v>DELIVERED</v>
      </c>
    </row>
    <row r="268" spans="1:10" x14ac:dyDescent="0.25">
      <c r="A268" t="str">
        <f t="shared" si="71"/>
        <v>0000114649</v>
      </c>
      <c r="B268" t="str">
        <f t="shared" si="72"/>
        <v>0001104567</v>
      </c>
      <c r="C268" t="str">
        <f t="shared" si="73"/>
        <v xml:space="preserve">TR40/24 </v>
      </c>
      <c r="D268" t="str">
        <f t="shared" si="74"/>
        <v>59</v>
      </c>
      <c r="E268">
        <v>1.01</v>
      </c>
      <c r="F268">
        <v>269</v>
      </c>
      <c r="G268" t="str">
        <f>"1031811482"</f>
        <v>1031811482</v>
      </c>
      <c r="H268" t="str">
        <f t="shared" si="76"/>
        <v>2025-12-01</v>
      </c>
      <c r="I268" t="str">
        <f t="shared" si="75"/>
        <v>2512018202</v>
      </c>
      <c r="J268" t="str">
        <f t="shared" si="70"/>
        <v>DELIVERED</v>
      </c>
    </row>
    <row r="269" spans="1:10" x14ac:dyDescent="0.25">
      <c r="A269" t="str">
        <f t="shared" si="71"/>
        <v>0000114649</v>
      </c>
      <c r="B269" t="str">
        <f t="shared" si="72"/>
        <v>0001104567</v>
      </c>
      <c r="C269" t="str">
        <f t="shared" si="73"/>
        <v xml:space="preserve">TR40/24 </v>
      </c>
      <c r="D269" t="str">
        <f t="shared" si="74"/>
        <v>59</v>
      </c>
      <c r="E269">
        <v>1.948</v>
      </c>
      <c r="F269">
        <v>956</v>
      </c>
      <c r="G269" t="str">
        <f>"1031811483"</f>
        <v>1031811483</v>
      </c>
      <c r="H269" t="str">
        <f t="shared" si="76"/>
        <v>2025-12-01</v>
      </c>
      <c r="I269" t="str">
        <f t="shared" si="75"/>
        <v>2512018202</v>
      </c>
      <c r="J269" t="str">
        <f t="shared" si="70"/>
        <v>DELIVERED</v>
      </c>
    </row>
    <row r="270" spans="1:10" x14ac:dyDescent="0.25">
      <c r="A270" t="str">
        <f t="shared" si="71"/>
        <v>0000114649</v>
      </c>
      <c r="B270" t="str">
        <f t="shared" si="72"/>
        <v>0001104567</v>
      </c>
      <c r="C270" t="str">
        <f t="shared" si="73"/>
        <v xml:space="preserve">TR40/24 </v>
      </c>
      <c r="D270" t="str">
        <f t="shared" si="74"/>
        <v>59</v>
      </c>
      <c r="E270">
        <v>4.4720000000000004</v>
      </c>
      <c r="F270">
        <v>2341</v>
      </c>
      <c r="G270" t="str">
        <f>"1031811484"</f>
        <v>1031811484</v>
      </c>
      <c r="H270" t="str">
        <f t="shared" si="76"/>
        <v>2025-12-01</v>
      </c>
      <c r="I270" t="str">
        <f t="shared" si="75"/>
        <v>2512018202</v>
      </c>
      <c r="J270" t="str">
        <f t="shared" si="70"/>
        <v>DELIVERED</v>
      </c>
    </row>
    <row r="271" spans="1:10" x14ac:dyDescent="0.25">
      <c r="A271" t="str">
        <f>"0000114655"</f>
        <v>0000114655</v>
      </c>
      <c r="B271" t="str">
        <f>"0001104892"</f>
        <v>0001104892</v>
      </c>
      <c r="C271" t="str">
        <f t="shared" si="73"/>
        <v xml:space="preserve">TR40/24 </v>
      </c>
      <c r="D271" t="str">
        <f>"99"</f>
        <v>99</v>
      </c>
      <c r="E271">
        <v>18.253</v>
      </c>
      <c r="F271">
        <v>1148</v>
      </c>
      <c r="G271" t="str">
        <f>"1031810663"</f>
        <v>1031810663</v>
      </c>
      <c r="H271" t="str">
        <f t="shared" si="76"/>
        <v>2025-12-01</v>
      </c>
      <c r="I271" t="str">
        <f>"2511287643"</f>
        <v>2511287643</v>
      </c>
      <c r="J271" t="str">
        <f t="shared" si="70"/>
        <v>DELIVERED</v>
      </c>
    </row>
    <row r="272" spans="1:10" x14ac:dyDescent="0.25">
      <c r="A272" t="str">
        <f>"0000114655"</f>
        <v>0000114655</v>
      </c>
      <c r="B272" t="str">
        <f>"0001104892"</f>
        <v>0001104892</v>
      </c>
      <c r="C272" t="str">
        <f t="shared" si="73"/>
        <v xml:space="preserve">TR40/24 </v>
      </c>
      <c r="D272" t="str">
        <f>"99"</f>
        <v>99</v>
      </c>
      <c r="E272">
        <v>0.76900000000000002</v>
      </c>
      <c r="F272">
        <v>216</v>
      </c>
      <c r="G272" t="str">
        <f>"1031811580"</f>
        <v>1031811580</v>
      </c>
      <c r="H272" t="str">
        <f t="shared" si="76"/>
        <v>2025-12-01</v>
      </c>
      <c r="I272" t="str">
        <f>"2511287643"</f>
        <v>2511287643</v>
      </c>
      <c r="J272" t="str">
        <f t="shared" si="70"/>
        <v>DELIVERED</v>
      </c>
    </row>
    <row r="273" spans="1:10" x14ac:dyDescent="0.25">
      <c r="A273" t="str">
        <f>"0000114655"</f>
        <v>0000114655</v>
      </c>
      <c r="B273" t="str">
        <f>"0001104892"</f>
        <v>0001104892</v>
      </c>
      <c r="C273" t="str">
        <f t="shared" si="73"/>
        <v xml:space="preserve">TR40/24 </v>
      </c>
      <c r="D273" t="str">
        <f>"99"</f>
        <v>99</v>
      </c>
      <c r="E273">
        <v>0.30199999999999999</v>
      </c>
      <c r="F273">
        <v>95</v>
      </c>
      <c r="G273" t="str">
        <f>"1031811584"</f>
        <v>1031811584</v>
      </c>
      <c r="H273" t="str">
        <f t="shared" si="76"/>
        <v>2025-12-01</v>
      </c>
      <c r="I273" t="str">
        <f>"2511287643"</f>
        <v>2511287643</v>
      </c>
      <c r="J273" t="str">
        <f t="shared" si="70"/>
        <v>DELIVERED</v>
      </c>
    </row>
    <row r="274" spans="1:10" x14ac:dyDescent="0.25">
      <c r="A274" t="str">
        <f>"0000114655"</f>
        <v>0000114655</v>
      </c>
      <c r="B274" t="str">
        <f>"0001104892"</f>
        <v>0001104892</v>
      </c>
      <c r="C274" t="str">
        <f t="shared" si="73"/>
        <v xml:space="preserve">TR40/24 </v>
      </c>
      <c r="D274" t="str">
        <f>"99"</f>
        <v>99</v>
      </c>
      <c r="E274">
        <v>2.12</v>
      </c>
      <c r="F274">
        <v>669</v>
      </c>
      <c r="G274" t="str">
        <f>"1031811604"</f>
        <v>1031811604</v>
      </c>
      <c r="H274" t="str">
        <f t="shared" si="76"/>
        <v>2025-12-01</v>
      </c>
      <c r="I274" t="str">
        <f>"2511287643"</f>
        <v>2511287643</v>
      </c>
      <c r="J274" t="str">
        <f t="shared" si="70"/>
        <v>DELIVERED</v>
      </c>
    </row>
    <row r="275" spans="1:10" x14ac:dyDescent="0.25">
      <c r="A275" t="str">
        <f>"0000114681"</f>
        <v>0000114681</v>
      </c>
      <c r="B275" t="str">
        <f>"0001104832"</f>
        <v>0001104832</v>
      </c>
      <c r="C275" t="str">
        <f t="shared" si="73"/>
        <v xml:space="preserve">TR40/24 </v>
      </c>
      <c r="D275" t="str">
        <f>"50"</f>
        <v>50</v>
      </c>
      <c r="E275">
        <v>8.3089999999999993</v>
      </c>
      <c r="F275">
        <v>2578</v>
      </c>
      <c r="G275" t="str">
        <f>"1031814029"</f>
        <v>1031814029</v>
      </c>
      <c r="H275" t="str">
        <f t="shared" si="76"/>
        <v>2025-12-01</v>
      </c>
      <c r="I275" t="str">
        <f>"2512018212"</f>
        <v>2512018212</v>
      </c>
      <c r="J275" t="str">
        <f t="shared" si="70"/>
        <v>DELIVERED</v>
      </c>
    </row>
    <row r="276" spans="1:10" x14ac:dyDescent="0.25">
      <c r="A276" t="str">
        <f>"0000114681"</f>
        <v>0000114681</v>
      </c>
      <c r="B276" t="str">
        <f>"0001104832"</f>
        <v>0001104832</v>
      </c>
      <c r="C276" t="str">
        <f t="shared" si="73"/>
        <v xml:space="preserve">TR40/24 </v>
      </c>
      <c r="D276" t="str">
        <f>"50"</f>
        <v>50</v>
      </c>
      <c r="E276">
        <v>18.555</v>
      </c>
      <c r="F276">
        <v>504</v>
      </c>
      <c r="G276" t="str">
        <f>"1031815881"</f>
        <v>1031815881</v>
      </c>
      <c r="H276" t="str">
        <f t="shared" si="76"/>
        <v>2025-12-01</v>
      </c>
      <c r="I276" t="str">
        <f>"2512018361"</f>
        <v>2512018361</v>
      </c>
      <c r="J276" t="str">
        <f t="shared" si="70"/>
        <v>DELIVERED</v>
      </c>
    </row>
    <row r="277" spans="1:10" x14ac:dyDescent="0.25">
      <c r="A277" t="str">
        <f>"0000114710"</f>
        <v>0000114710</v>
      </c>
      <c r="B277" t="str">
        <f>"0001101798"</f>
        <v>0001101798</v>
      </c>
      <c r="C277" t="str">
        <f t="shared" si="73"/>
        <v xml:space="preserve">TR40/24 </v>
      </c>
      <c r="D277" t="str">
        <f>"99"</f>
        <v>99</v>
      </c>
      <c r="E277">
        <v>8.6850000000000005</v>
      </c>
      <c r="F277">
        <v>3162</v>
      </c>
      <c r="G277" t="str">
        <f>"1031811545"</f>
        <v>1031811545</v>
      </c>
      <c r="H277" t="str">
        <f t="shared" si="76"/>
        <v>2025-12-01</v>
      </c>
      <c r="I277" t="str">
        <f>"2511287665"</f>
        <v>2511287665</v>
      </c>
      <c r="J277" t="str">
        <f t="shared" si="70"/>
        <v>DELIVERED</v>
      </c>
    </row>
    <row r="278" spans="1:10" x14ac:dyDescent="0.25">
      <c r="A278" t="str">
        <f>"0000114746"</f>
        <v>0000114746</v>
      </c>
      <c r="B278" t="str">
        <f>"0001102092"</f>
        <v>0001102092</v>
      </c>
      <c r="C278" t="str">
        <f t="shared" si="73"/>
        <v xml:space="preserve">TR40/24 </v>
      </c>
      <c r="D278" t="str">
        <f>"79"</f>
        <v>79</v>
      </c>
      <c r="E278">
        <v>30.193000000000001</v>
      </c>
      <c r="F278">
        <v>2300</v>
      </c>
      <c r="G278" t="str">
        <f>"1031813762"</f>
        <v>1031813762</v>
      </c>
      <c r="H278" t="str">
        <f t="shared" si="76"/>
        <v>2025-12-01</v>
      </c>
      <c r="I278" t="str">
        <f>"2512017938"</f>
        <v>2512017938</v>
      </c>
      <c r="J278" t="str">
        <f t="shared" si="70"/>
        <v>DELIVERED</v>
      </c>
    </row>
    <row r="279" spans="1:10" x14ac:dyDescent="0.25">
      <c r="A279" t="str">
        <f>"0000114746"</f>
        <v>0000114746</v>
      </c>
      <c r="B279" t="str">
        <f>"0001102092"</f>
        <v>0001102092</v>
      </c>
      <c r="C279" t="str">
        <f t="shared" si="73"/>
        <v xml:space="preserve">TR40/24 </v>
      </c>
      <c r="D279" t="str">
        <f>"79"</f>
        <v>79</v>
      </c>
      <c r="E279">
        <v>21.212</v>
      </c>
      <c r="F279">
        <v>1200</v>
      </c>
      <c r="G279" t="str">
        <f>"1031813763"</f>
        <v>1031813763</v>
      </c>
      <c r="H279" t="str">
        <f t="shared" si="76"/>
        <v>2025-12-01</v>
      </c>
      <c r="I279" t="str">
        <f>"2512017937"</f>
        <v>2512017937</v>
      </c>
      <c r="J279" t="str">
        <f t="shared" si="70"/>
        <v>DELIVERED</v>
      </c>
    </row>
    <row r="280" spans="1:10" x14ac:dyDescent="0.25">
      <c r="A280" t="str">
        <f>"0000114749"</f>
        <v>0000114749</v>
      </c>
      <c r="B280" t="str">
        <f>"0001104909"</f>
        <v>0001104909</v>
      </c>
      <c r="C280" t="str">
        <f t="shared" si="73"/>
        <v xml:space="preserve">TR40/24 </v>
      </c>
      <c r="D280" t="str">
        <f>"50"</f>
        <v>50</v>
      </c>
      <c r="E280">
        <v>11.871</v>
      </c>
      <c r="F280">
        <v>6666</v>
      </c>
      <c r="G280" t="str">
        <f>"1031815306"</f>
        <v>1031815306</v>
      </c>
      <c r="H280" t="str">
        <f t="shared" si="76"/>
        <v>2025-12-01</v>
      </c>
      <c r="I280" t="str">
        <f>"2512017777"</f>
        <v>2512017777</v>
      </c>
      <c r="J280" t="str">
        <f t="shared" si="70"/>
        <v>DELIVERED</v>
      </c>
    </row>
    <row r="281" spans="1:10" x14ac:dyDescent="0.25">
      <c r="A281" t="str">
        <f>"0000114749"</f>
        <v>0000114749</v>
      </c>
      <c r="B281" t="str">
        <f>"0001104909"</f>
        <v>0001104909</v>
      </c>
      <c r="C281" t="str">
        <f t="shared" si="73"/>
        <v xml:space="preserve">TR40/24 </v>
      </c>
      <c r="D281" t="str">
        <f>"50"</f>
        <v>50</v>
      </c>
      <c r="E281">
        <v>8.8789999999999996</v>
      </c>
      <c r="F281">
        <v>2224</v>
      </c>
      <c r="G281" t="str">
        <f>"1031815498"</f>
        <v>1031815498</v>
      </c>
      <c r="H281" t="str">
        <f t="shared" si="76"/>
        <v>2025-12-01</v>
      </c>
      <c r="I281" t="str">
        <f>"2512017923"</f>
        <v>2512017923</v>
      </c>
      <c r="J281" t="str">
        <f t="shared" si="70"/>
        <v>DELIVERED</v>
      </c>
    </row>
    <row r="282" spans="1:10" x14ac:dyDescent="0.25">
      <c r="A282" t="str">
        <f>"0000114749"</f>
        <v>0000114749</v>
      </c>
      <c r="B282" t="str">
        <f>"0001104909"</f>
        <v>0001104909</v>
      </c>
      <c r="C282" t="str">
        <f t="shared" si="73"/>
        <v xml:space="preserve">TR40/24 </v>
      </c>
      <c r="D282" t="str">
        <f>"50"</f>
        <v>50</v>
      </c>
      <c r="E282">
        <v>6.1239999999999997</v>
      </c>
      <c r="F282">
        <v>2055</v>
      </c>
      <c r="G282" t="str">
        <f>"1031815509"</f>
        <v>1031815509</v>
      </c>
      <c r="H282" t="str">
        <f t="shared" si="76"/>
        <v>2025-12-01</v>
      </c>
      <c r="I282" t="str">
        <f>"2512017923"</f>
        <v>2512017923</v>
      </c>
      <c r="J282" t="str">
        <f t="shared" si="70"/>
        <v>DELIVERED</v>
      </c>
    </row>
    <row r="283" spans="1:10" x14ac:dyDescent="0.25">
      <c r="A283" t="str">
        <f>"0000114749"</f>
        <v>0000114749</v>
      </c>
      <c r="B283" t="str">
        <f>"0001104909"</f>
        <v>0001104909</v>
      </c>
      <c r="C283" t="str">
        <f t="shared" si="73"/>
        <v xml:space="preserve">TR40/24 </v>
      </c>
      <c r="D283" t="str">
        <f>"50"</f>
        <v>50</v>
      </c>
      <c r="E283">
        <v>1.361</v>
      </c>
      <c r="F283">
        <v>368</v>
      </c>
      <c r="G283" t="str">
        <f>"1031815510"</f>
        <v>1031815510</v>
      </c>
      <c r="H283" t="str">
        <f t="shared" si="76"/>
        <v>2025-12-01</v>
      </c>
      <c r="I283" t="str">
        <f>"2512017923"</f>
        <v>2512017923</v>
      </c>
      <c r="J283" t="str">
        <f t="shared" si="70"/>
        <v>DELIVERED</v>
      </c>
    </row>
    <row r="284" spans="1:10" x14ac:dyDescent="0.25">
      <c r="A284" t="str">
        <f>"0000114755"</f>
        <v>0000114755</v>
      </c>
      <c r="B284" t="str">
        <f>"0001102952"</f>
        <v>0001102952</v>
      </c>
      <c r="C284" t="str">
        <f t="shared" si="73"/>
        <v xml:space="preserve">TR40/24 </v>
      </c>
      <c r="D284" t="str">
        <f>"54"</f>
        <v>54</v>
      </c>
      <c r="E284">
        <v>4.2839999999999998</v>
      </c>
      <c r="F284">
        <v>1678</v>
      </c>
      <c r="G284" t="str">
        <f>"1031814954"</f>
        <v>1031814954</v>
      </c>
      <c r="H284" t="str">
        <f t="shared" si="76"/>
        <v>2025-12-01</v>
      </c>
      <c r="I284" t="str">
        <f>"2512018217"</f>
        <v>2512018217</v>
      </c>
      <c r="J284" t="str">
        <f t="shared" si="70"/>
        <v>DELIVERED</v>
      </c>
    </row>
    <row r="285" spans="1:10" x14ac:dyDescent="0.25">
      <c r="A285" t="str">
        <f>"0000114755"</f>
        <v>0000114755</v>
      </c>
      <c r="B285" t="str">
        <f>"0001102952"</f>
        <v>0001102952</v>
      </c>
      <c r="C285" t="str">
        <f t="shared" si="73"/>
        <v xml:space="preserve">TR40/24 </v>
      </c>
      <c r="D285" t="str">
        <f>"54"</f>
        <v>54</v>
      </c>
      <c r="E285">
        <v>4.0039999999999996</v>
      </c>
      <c r="F285">
        <v>6</v>
      </c>
      <c r="G285" t="str">
        <f>"1031814955"</f>
        <v>1031814955</v>
      </c>
      <c r="H285" t="str">
        <f t="shared" si="76"/>
        <v>2025-12-01</v>
      </c>
      <c r="I285" t="str">
        <f>"2512018217"</f>
        <v>2512018217</v>
      </c>
      <c r="J285" t="str">
        <f t="shared" si="70"/>
        <v>DELIVERED</v>
      </c>
    </row>
    <row r="286" spans="1:10" x14ac:dyDescent="0.25">
      <c r="A286" t="str">
        <f>"0000114834"</f>
        <v>0000114834</v>
      </c>
      <c r="B286" t="str">
        <f>"0001101444"</f>
        <v>0001101444</v>
      </c>
      <c r="C286" t="str">
        <f t="shared" si="73"/>
        <v xml:space="preserve">TR40/24 </v>
      </c>
      <c r="D286" t="str">
        <f>"99"</f>
        <v>99</v>
      </c>
      <c r="E286">
        <v>6.7140000000000004</v>
      </c>
      <c r="F286">
        <v>513</v>
      </c>
      <c r="G286" t="str">
        <f>"1031812305"</f>
        <v>1031812305</v>
      </c>
      <c r="H286" t="str">
        <f t="shared" si="76"/>
        <v>2025-12-01</v>
      </c>
      <c r="I286" t="str">
        <f>"2512018194"</f>
        <v>2512018194</v>
      </c>
      <c r="J286" t="str">
        <f t="shared" si="70"/>
        <v>DELIVERED</v>
      </c>
    </row>
    <row r="287" spans="1:10" x14ac:dyDescent="0.25">
      <c r="A287" t="str">
        <f>"0000114843"</f>
        <v>0000114843</v>
      </c>
      <c r="B287" t="str">
        <f>"0001102092"</f>
        <v>0001102092</v>
      </c>
      <c r="C287" t="str">
        <f t="shared" si="73"/>
        <v xml:space="preserve">TR40/24 </v>
      </c>
      <c r="D287" t="str">
        <f>"79"</f>
        <v>79</v>
      </c>
      <c r="E287">
        <v>29.324000000000002</v>
      </c>
      <c r="F287">
        <v>3300</v>
      </c>
      <c r="G287" t="str">
        <f>"1031813732"</f>
        <v>1031813732</v>
      </c>
      <c r="H287" t="str">
        <f t="shared" si="76"/>
        <v>2025-12-01</v>
      </c>
      <c r="I287" t="str">
        <f>"2512017991"</f>
        <v>2512017991</v>
      </c>
      <c r="J287" t="str">
        <f t="shared" si="70"/>
        <v>DELIVERED</v>
      </c>
    </row>
    <row r="288" spans="1:10" x14ac:dyDescent="0.25">
      <c r="A288" t="str">
        <f>"0000114894"</f>
        <v>0000114894</v>
      </c>
      <c r="B288" t="str">
        <f>"0001105001"</f>
        <v>0001105001</v>
      </c>
      <c r="C288" t="str">
        <f t="shared" si="73"/>
        <v xml:space="preserve">TR40/24 </v>
      </c>
      <c r="D288" t="str">
        <f>"99"</f>
        <v>99</v>
      </c>
      <c r="E288">
        <v>22.048999999999999</v>
      </c>
      <c r="F288">
        <v>1172</v>
      </c>
      <c r="G288" t="str">
        <f>"1031813973"</f>
        <v>1031813973</v>
      </c>
      <c r="H288" t="str">
        <f t="shared" si="76"/>
        <v>2025-12-01</v>
      </c>
      <c r="I288" t="str">
        <f>"2512017226"</f>
        <v>2512017226</v>
      </c>
      <c r="J288" t="str">
        <f t="shared" si="70"/>
        <v>DELIVERED</v>
      </c>
    </row>
    <row r="289" spans="1:10" x14ac:dyDescent="0.25">
      <c r="A289" t="str">
        <f>"0000114966"</f>
        <v>0000114966</v>
      </c>
      <c r="B289" t="str">
        <f>"0001104263"</f>
        <v>0001104263</v>
      </c>
      <c r="C289" t="str">
        <f>"HC      "</f>
        <v xml:space="preserve">HC      </v>
      </c>
      <c r="D289" t="str">
        <f>"63"</f>
        <v>63</v>
      </c>
      <c r="E289">
        <v>4.5279999999999996</v>
      </c>
      <c r="F289">
        <v>695</v>
      </c>
      <c r="G289" t="str">
        <f>"1031808417"</f>
        <v>1031808417</v>
      </c>
      <c r="H289" t="str">
        <f t="shared" si="76"/>
        <v>2025-12-01</v>
      </c>
      <c r="I289" t="str">
        <f>"2512018172"</f>
        <v>2512018172</v>
      </c>
      <c r="J289" t="str">
        <f t="shared" si="70"/>
        <v>DELIVERED</v>
      </c>
    </row>
    <row r="290" spans="1:10" x14ac:dyDescent="0.25">
      <c r="A290" t="str">
        <f>"0000114966"</f>
        <v>0000114966</v>
      </c>
      <c r="B290" t="str">
        <f>"0001104263"</f>
        <v>0001104263</v>
      </c>
      <c r="C290" t="str">
        <f>"HC      "</f>
        <v xml:space="preserve">HC      </v>
      </c>
      <c r="D290" t="str">
        <f>"63"</f>
        <v>63</v>
      </c>
      <c r="E290">
        <v>2.282</v>
      </c>
      <c r="F290">
        <v>708</v>
      </c>
      <c r="G290" t="str">
        <f>"1031808418"</f>
        <v>1031808418</v>
      </c>
      <c r="H290" t="str">
        <f t="shared" si="76"/>
        <v>2025-12-01</v>
      </c>
      <c r="I290" t="str">
        <f>"2512018172"</f>
        <v>2512018172</v>
      </c>
      <c r="J290" t="str">
        <f t="shared" si="70"/>
        <v>DELIVERED</v>
      </c>
    </row>
    <row r="291" spans="1:10" x14ac:dyDescent="0.25">
      <c r="A291" t="str">
        <f>"0000114986"</f>
        <v>0000114986</v>
      </c>
      <c r="B291" t="str">
        <f>"0001104923"</f>
        <v>0001104923</v>
      </c>
      <c r="C291" t="str">
        <f t="shared" ref="C291:C322" si="77">"TR40/24 "</f>
        <v xml:space="preserve">TR40/24 </v>
      </c>
      <c r="D291" t="str">
        <f>"46"</f>
        <v>46</v>
      </c>
      <c r="E291">
        <v>1.7170000000000001</v>
      </c>
      <c r="F291">
        <v>1445</v>
      </c>
      <c r="G291" t="str">
        <f>"1031813952"</f>
        <v>1031813952</v>
      </c>
      <c r="H291" t="str">
        <f t="shared" si="76"/>
        <v>2025-12-01</v>
      </c>
      <c r="I291" t="str">
        <f>"2511287755"</f>
        <v>2511287755</v>
      </c>
      <c r="J291" t="str">
        <f t="shared" si="70"/>
        <v>DELIVERED</v>
      </c>
    </row>
    <row r="292" spans="1:10" x14ac:dyDescent="0.25">
      <c r="A292" t="str">
        <f>"0000114986"</f>
        <v>0000114986</v>
      </c>
      <c r="B292" t="str">
        <f>"0001104923"</f>
        <v>0001104923</v>
      </c>
      <c r="C292" t="str">
        <f t="shared" si="77"/>
        <v xml:space="preserve">TR40/24 </v>
      </c>
      <c r="D292" t="str">
        <f>"46"</f>
        <v>46</v>
      </c>
      <c r="E292">
        <v>2663.5839999999998</v>
      </c>
      <c r="F292">
        <v>3732</v>
      </c>
      <c r="G292" t="str">
        <f>"1031813953"</f>
        <v>1031813953</v>
      </c>
      <c r="H292" t="str">
        <f t="shared" si="76"/>
        <v>2025-12-01</v>
      </c>
      <c r="I292" t="str">
        <f>"2511297569"</f>
        <v>2511297569</v>
      </c>
      <c r="J292" t="str">
        <f t="shared" si="70"/>
        <v>DELIVERED</v>
      </c>
    </row>
    <row r="293" spans="1:10" x14ac:dyDescent="0.25">
      <c r="A293" t="str">
        <f>"0000114986"</f>
        <v>0000114986</v>
      </c>
      <c r="B293" t="str">
        <f>"0001104923"</f>
        <v>0001104923</v>
      </c>
      <c r="C293" t="str">
        <f t="shared" si="77"/>
        <v xml:space="preserve">TR40/24 </v>
      </c>
      <c r="D293" t="str">
        <f>"46"</f>
        <v>46</v>
      </c>
      <c r="E293">
        <v>927.56600000000003</v>
      </c>
      <c r="F293">
        <v>1377</v>
      </c>
      <c r="G293" t="str">
        <f>"1031814619"</f>
        <v>1031814619</v>
      </c>
      <c r="H293" t="str">
        <f t="shared" si="76"/>
        <v>2025-12-01</v>
      </c>
      <c r="I293" t="str">
        <f>"2512018220"</f>
        <v>2512018220</v>
      </c>
      <c r="J293" t="str">
        <f t="shared" si="70"/>
        <v>DELIVERED</v>
      </c>
    </row>
    <row r="294" spans="1:10" x14ac:dyDescent="0.25">
      <c r="A294" t="str">
        <f>"0000114986"</f>
        <v>0000114986</v>
      </c>
      <c r="B294" t="str">
        <f>"0001104923"</f>
        <v>0001104923</v>
      </c>
      <c r="C294" t="str">
        <f t="shared" si="77"/>
        <v xml:space="preserve">TR40/24 </v>
      </c>
      <c r="D294" t="str">
        <f>"46"</f>
        <v>46</v>
      </c>
      <c r="E294">
        <v>626.899</v>
      </c>
      <c r="F294">
        <v>936</v>
      </c>
      <c r="G294" t="str">
        <f>"1031815259"</f>
        <v>1031815259</v>
      </c>
      <c r="H294" t="str">
        <f t="shared" si="76"/>
        <v>2025-12-01</v>
      </c>
      <c r="I294" t="str">
        <f>"2512018220"</f>
        <v>2512018220</v>
      </c>
      <c r="J294" t="str">
        <f t="shared" si="70"/>
        <v>DELIVERED</v>
      </c>
    </row>
    <row r="295" spans="1:10" x14ac:dyDescent="0.25">
      <c r="A295" t="str">
        <f>"0000114986"</f>
        <v>0000114986</v>
      </c>
      <c r="B295" t="str">
        <f>"0001104923"</f>
        <v>0001104923</v>
      </c>
      <c r="C295" t="str">
        <f t="shared" si="77"/>
        <v xml:space="preserve">TR40/24 </v>
      </c>
      <c r="D295" t="str">
        <f>"46"</f>
        <v>46</v>
      </c>
      <c r="E295">
        <v>35.723999999999997</v>
      </c>
      <c r="F295">
        <v>410</v>
      </c>
      <c r="G295" t="str">
        <f>"1031815261"</f>
        <v>1031815261</v>
      </c>
      <c r="H295" t="str">
        <f t="shared" si="76"/>
        <v>2025-12-01</v>
      </c>
      <c r="I295" t="str">
        <f>"2512018220"</f>
        <v>2512018220</v>
      </c>
      <c r="J295" t="str">
        <f t="shared" si="70"/>
        <v>DELIVERED</v>
      </c>
    </row>
    <row r="296" spans="1:10" x14ac:dyDescent="0.25">
      <c r="A296" t="str">
        <f t="shared" ref="A296:A304" si="78">"0000112035"</f>
        <v>0000112035</v>
      </c>
      <c r="B296" t="str">
        <f t="shared" ref="B296:B304" si="79">"0001101688"</f>
        <v>0001101688</v>
      </c>
      <c r="C296" t="str">
        <f t="shared" si="77"/>
        <v xml:space="preserve">TR40/24 </v>
      </c>
      <c r="D296" t="str">
        <f t="shared" ref="D296:D305" si="80">"57"</f>
        <v>57</v>
      </c>
      <c r="E296">
        <v>23.454000000000001</v>
      </c>
      <c r="F296">
        <v>7272</v>
      </c>
      <c r="G296" t="str">
        <f>"1031810127"</f>
        <v>1031810127</v>
      </c>
      <c r="H296" t="str">
        <f t="shared" ref="H296:H327" si="81">"2025-12-02"</f>
        <v>2025-12-02</v>
      </c>
      <c r="I296" t="str">
        <f>"2512018192"</f>
        <v>2512018192</v>
      </c>
      <c r="J296" t="str">
        <f t="shared" si="70"/>
        <v>DELIVERED</v>
      </c>
    </row>
    <row r="297" spans="1:10" x14ac:dyDescent="0.25">
      <c r="A297" t="str">
        <f t="shared" si="78"/>
        <v>0000112035</v>
      </c>
      <c r="B297" t="str">
        <f t="shared" si="79"/>
        <v>0001101688</v>
      </c>
      <c r="C297" t="str">
        <f t="shared" si="77"/>
        <v xml:space="preserve">TR40/24 </v>
      </c>
      <c r="D297" t="str">
        <f t="shared" si="80"/>
        <v>57</v>
      </c>
      <c r="E297">
        <v>7.9720000000000004</v>
      </c>
      <c r="F297">
        <v>3698</v>
      </c>
      <c r="G297" t="str">
        <f>"1031810307"</f>
        <v>1031810307</v>
      </c>
      <c r="H297" t="str">
        <f t="shared" si="81"/>
        <v>2025-12-02</v>
      </c>
      <c r="I297" t="str">
        <f>"2512028576"</f>
        <v>2512028576</v>
      </c>
      <c r="J297" t="str">
        <f t="shared" si="70"/>
        <v>DELIVERED</v>
      </c>
    </row>
    <row r="298" spans="1:10" x14ac:dyDescent="0.25">
      <c r="A298" t="str">
        <f t="shared" si="78"/>
        <v>0000112035</v>
      </c>
      <c r="B298" t="str">
        <f t="shared" si="79"/>
        <v>0001101688</v>
      </c>
      <c r="C298" t="str">
        <f t="shared" si="77"/>
        <v xml:space="preserve">TR40/24 </v>
      </c>
      <c r="D298" t="str">
        <f t="shared" si="80"/>
        <v>57</v>
      </c>
      <c r="E298">
        <v>7.367</v>
      </c>
      <c r="F298">
        <v>3928</v>
      </c>
      <c r="G298" t="str">
        <f>"1031810308"</f>
        <v>1031810308</v>
      </c>
      <c r="H298" t="str">
        <f t="shared" si="81"/>
        <v>2025-12-02</v>
      </c>
      <c r="I298" t="str">
        <f>"2512028576"</f>
        <v>2512028576</v>
      </c>
      <c r="J298" t="str">
        <f t="shared" si="70"/>
        <v>DELIVERED</v>
      </c>
    </row>
    <row r="299" spans="1:10" x14ac:dyDescent="0.25">
      <c r="A299" t="str">
        <f t="shared" si="78"/>
        <v>0000112035</v>
      </c>
      <c r="B299" t="str">
        <f t="shared" si="79"/>
        <v>0001101688</v>
      </c>
      <c r="C299" t="str">
        <f t="shared" si="77"/>
        <v xml:space="preserve">TR40/24 </v>
      </c>
      <c r="D299" t="str">
        <f t="shared" si="80"/>
        <v>57</v>
      </c>
      <c r="E299">
        <v>17.021999999999998</v>
      </c>
      <c r="F299">
        <v>3915</v>
      </c>
      <c r="G299" t="str">
        <f>"1031813859"</f>
        <v>1031813859</v>
      </c>
      <c r="H299" t="str">
        <f t="shared" si="81"/>
        <v>2025-12-02</v>
      </c>
      <c r="I299" t="str">
        <f>"2512017761"</f>
        <v>2512017761</v>
      </c>
      <c r="J299" t="str">
        <f t="shared" si="70"/>
        <v>DELIVERED</v>
      </c>
    </row>
    <row r="300" spans="1:10" x14ac:dyDescent="0.25">
      <c r="A300" t="str">
        <f t="shared" si="78"/>
        <v>0000112035</v>
      </c>
      <c r="B300" t="str">
        <f t="shared" si="79"/>
        <v>0001101688</v>
      </c>
      <c r="C300" t="str">
        <f t="shared" si="77"/>
        <v xml:space="preserve">TR40/24 </v>
      </c>
      <c r="D300" t="str">
        <f t="shared" si="80"/>
        <v>57</v>
      </c>
      <c r="E300">
        <v>24.416</v>
      </c>
      <c r="F300">
        <v>6907</v>
      </c>
      <c r="G300" t="str">
        <f>"1031814309"</f>
        <v>1031814309</v>
      </c>
      <c r="H300" t="str">
        <f t="shared" si="81"/>
        <v>2025-12-02</v>
      </c>
      <c r="I300" t="str">
        <f>"2512028606"</f>
        <v>2512028606</v>
      </c>
      <c r="J300" t="str">
        <f t="shared" si="70"/>
        <v>DELIVERED</v>
      </c>
    </row>
    <row r="301" spans="1:10" x14ac:dyDescent="0.25">
      <c r="A301" t="str">
        <f t="shared" si="78"/>
        <v>0000112035</v>
      </c>
      <c r="B301" t="str">
        <f t="shared" si="79"/>
        <v>0001101688</v>
      </c>
      <c r="C301" t="str">
        <f t="shared" si="77"/>
        <v xml:space="preserve">TR40/24 </v>
      </c>
      <c r="D301" t="str">
        <f t="shared" si="80"/>
        <v>57</v>
      </c>
      <c r="E301">
        <v>1197.8320000000001</v>
      </c>
      <c r="F301">
        <v>1490</v>
      </c>
      <c r="G301" t="str">
        <f>"1031815253"</f>
        <v>1031815253</v>
      </c>
      <c r="H301" t="str">
        <f t="shared" si="81"/>
        <v>2025-12-02</v>
      </c>
      <c r="I301" t="str">
        <f>"2512017835"</f>
        <v>2512017835</v>
      </c>
      <c r="J301" t="str">
        <f>"NOT DELIVERED"</f>
        <v>NOT DELIVERED</v>
      </c>
    </row>
    <row r="302" spans="1:10" x14ac:dyDescent="0.25">
      <c r="A302" t="str">
        <f t="shared" si="78"/>
        <v>0000112035</v>
      </c>
      <c r="B302" t="str">
        <f t="shared" si="79"/>
        <v>0001101688</v>
      </c>
      <c r="C302" t="str">
        <f t="shared" si="77"/>
        <v xml:space="preserve">TR40/24 </v>
      </c>
      <c r="D302" t="str">
        <f t="shared" si="80"/>
        <v>57</v>
      </c>
      <c r="E302">
        <v>1197.8320000000001</v>
      </c>
      <c r="F302">
        <v>1490</v>
      </c>
      <c r="G302" t="str">
        <f>"1031815254"</f>
        <v>1031815254</v>
      </c>
      <c r="H302" t="str">
        <f t="shared" si="81"/>
        <v>2025-12-02</v>
      </c>
      <c r="I302" t="str">
        <f>"2512017835"</f>
        <v>2512017835</v>
      </c>
      <c r="J302" t="str">
        <f>"NOT DELIVERED"</f>
        <v>NOT DELIVERED</v>
      </c>
    </row>
    <row r="303" spans="1:10" x14ac:dyDescent="0.25">
      <c r="A303" t="str">
        <f t="shared" si="78"/>
        <v>0000112035</v>
      </c>
      <c r="B303" t="str">
        <f t="shared" si="79"/>
        <v>0001101688</v>
      </c>
      <c r="C303" t="str">
        <f t="shared" si="77"/>
        <v xml:space="preserve">TR40/24 </v>
      </c>
      <c r="D303" t="str">
        <f t="shared" si="80"/>
        <v>57</v>
      </c>
      <c r="E303">
        <v>1058.018</v>
      </c>
      <c r="F303">
        <v>1320</v>
      </c>
      <c r="G303" t="str">
        <f>"1031815255"</f>
        <v>1031815255</v>
      </c>
      <c r="H303" t="str">
        <f t="shared" si="81"/>
        <v>2025-12-02</v>
      </c>
      <c r="I303" t="str">
        <f>"2512017835"</f>
        <v>2512017835</v>
      </c>
      <c r="J303" t="str">
        <f>"NOT DELIVERED"</f>
        <v>NOT DELIVERED</v>
      </c>
    </row>
    <row r="304" spans="1:10" x14ac:dyDescent="0.25">
      <c r="A304" t="str">
        <f t="shared" si="78"/>
        <v>0000112035</v>
      </c>
      <c r="B304" t="str">
        <f t="shared" si="79"/>
        <v>0001101688</v>
      </c>
      <c r="C304" t="str">
        <f t="shared" si="77"/>
        <v xml:space="preserve">TR40/24 </v>
      </c>
      <c r="D304" t="str">
        <f t="shared" si="80"/>
        <v>57</v>
      </c>
      <c r="E304">
        <v>1058.018</v>
      </c>
      <c r="F304">
        <v>1320</v>
      </c>
      <c r="G304" t="str">
        <f>"1031815256"</f>
        <v>1031815256</v>
      </c>
      <c r="H304" t="str">
        <f t="shared" si="81"/>
        <v>2025-12-02</v>
      </c>
      <c r="I304" t="str">
        <f>"2512017835"</f>
        <v>2512017835</v>
      </c>
      <c r="J304" t="str">
        <f>"NOT DELIVERED"</f>
        <v>NOT DELIVERED</v>
      </c>
    </row>
    <row r="305" spans="1:10" x14ac:dyDescent="0.25">
      <c r="A305" t="str">
        <f>"0000112049"</f>
        <v>0000112049</v>
      </c>
      <c r="B305" t="str">
        <f>"0001103979"</f>
        <v>0001103979</v>
      </c>
      <c r="C305" t="str">
        <f t="shared" si="77"/>
        <v xml:space="preserve">TR40/24 </v>
      </c>
      <c r="D305" t="str">
        <f t="shared" si="80"/>
        <v>57</v>
      </c>
      <c r="E305">
        <v>7.9459999999999997</v>
      </c>
      <c r="F305">
        <v>2334</v>
      </c>
      <c r="G305" t="str">
        <f>"1031811324"</f>
        <v>1031811324</v>
      </c>
      <c r="H305" t="str">
        <f t="shared" si="81"/>
        <v>2025-12-02</v>
      </c>
      <c r="I305" t="str">
        <f>"2512028591"</f>
        <v>2512028591</v>
      </c>
      <c r="J305" t="str">
        <f t="shared" ref="J305:J318" si="82">"DELIVERED"</f>
        <v>DELIVERED</v>
      </c>
    </row>
    <row r="306" spans="1:10" x14ac:dyDescent="0.25">
      <c r="A306" t="str">
        <f>"0000113159"</f>
        <v>0000113159</v>
      </c>
      <c r="B306" t="str">
        <f>"0001104517"</f>
        <v>0001104517</v>
      </c>
      <c r="C306" t="str">
        <f t="shared" si="77"/>
        <v xml:space="preserve">TR40/24 </v>
      </c>
      <c r="D306" t="str">
        <f>"50"</f>
        <v>50</v>
      </c>
      <c r="E306">
        <v>23.829000000000001</v>
      </c>
      <c r="F306">
        <v>1384</v>
      </c>
      <c r="G306" t="str">
        <f>"1031810467"</f>
        <v>1031810467</v>
      </c>
      <c r="H306" t="str">
        <f t="shared" si="81"/>
        <v>2025-12-02</v>
      </c>
      <c r="I306" t="str">
        <f>"2512028580"</f>
        <v>2512028580</v>
      </c>
      <c r="J306" t="str">
        <f t="shared" si="82"/>
        <v>DELIVERED</v>
      </c>
    </row>
    <row r="307" spans="1:10" x14ac:dyDescent="0.25">
      <c r="A307" t="str">
        <f>"0000113159"</f>
        <v>0000113159</v>
      </c>
      <c r="B307" t="str">
        <f>"0001104517"</f>
        <v>0001104517</v>
      </c>
      <c r="C307" t="str">
        <f t="shared" si="77"/>
        <v xml:space="preserve">TR40/24 </v>
      </c>
      <c r="D307" t="str">
        <f>"50"</f>
        <v>50</v>
      </c>
      <c r="E307">
        <v>0.153</v>
      </c>
      <c r="F307">
        <v>6</v>
      </c>
      <c r="G307" t="str">
        <f>"1031810468"</f>
        <v>1031810468</v>
      </c>
      <c r="H307" t="str">
        <f t="shared" si="81"/>
        <v>2025-12-02</v>
      </c>
      <c r="I307" t="str">
        <f>"2512028573"</f>
        <v>2512028573</v>
      </c>
      <c r="J307" t="str">
        <f t="shared" si="82"/>
        <v>DELIVERED</v>
      </c>
    </row>
    <row r="308" spans="1:10" x14ac:dyDescent="0.25">
      <c r="A308" t="str">
        <f>"0000113159"</f>
        <v>0000113159</v>
      </c>
      <c r="B308" t="str">
        <f>"0001104517"</f>
        <v>0001104517</v>
      </c>
      <c r="C308" t="str">
        <f t="shared" si="77"/>
        <v xml:space="preserve">TR40/24 </v>
      </c>
      <c r="D308" t="str">
        <f>"50"</f>
        <v>50</v>
      </c>
      <c r="E308">
        <v>19.297999999999998</v>
      </c>
      <c r="F308">
        <v>1200</v>
      </c>
      <c r="G308" t="str">
        <f>"1031810894"</f>
        <v>1031810894</v>
      </c>
      <c r="H308" t="str">
        <f t="shared" si="81"/>
        <v>2025-12-02</v>
      </c>
      <c r="I308" t="str">
        <f>"2512028573"</f>
        <v>2512028573</v>
      </c>
      <c r="J308" t="str">
        <f t="shared" si="82"/>
        <v>DELIVERED</v>
      </c>
    </row>
    <row r="309" spans="1:10" x14ac:dyDescent="0.25">
      <c r="A309" t="str">
        <f>"0000113159"</f>
        <v>0000113159</v>
      </c>
      <c r="B309" t="str">
        <f>"0001104517"</f>
        <v>0001104517</v>
      </c>
      <c r="C309" t="str">
        <f t="shared" si="77"/>
        <v xml:space="preserve">TR40/24 </v>
      </c>
      <c r="D309" t="str">
        <f>"50"</f>
        <v>50</v>
      </c>
      <c r="E309">
        <v>0.153</v>
      </c>
      <c r="F309">
        <v>6</v>
      </c>
      <c r="G309" t="str">
        <f>"1031810895"</f>
        <v>1031810895</v>
      </c>
      <c r="H309" t="str">
        <f t="shared" si="81"/>
        <v>2025-12-02</v>
      </c>
      <c r="I309" t="str">
        <f>"2512028573"</f>
        <v>2512028573</v>
      </c>
      <c r="J309" t="str">
        <f t="shared" si="82"/>
        <v>DELIVERED</v>
      </c>
    </row>
    <row r="310" spans="1:10" x14ac:dyDescent="0.25">
      <c r="A310" t="str">
        <f>"0000113159"</f>
        <v>0000113159</v>
      </c>
      <c r="B310" t="str">
        <f>"0001104517"</f>
        <v>0001104517</v>
      </c>
      <c r="C310" t="str">
        <f t="shared" si="77"/>
        <v xml:space="preserve">TR40/24 </v>
      </c>
      <c r="D310" t="str">
        <f>"50"</f>
        <v>50</v>
      </c>
      <c r="E310">
        <v>0.78</v>
      </c>
      <c r="F310">
        <v>40</v>
      </c>
      <c r="G310" t="str">
        <f>"1031811133"</f>
        <v>1031811133</v>
      </c>
      <c r="H310" t="str">
        <f t="shared" si="81"/>
        <v>2025-12-02</v>
      </c>
      <c r="I310" t="str">
        <f>"2512028573"</f>
        <v>2512028573</v>
      </c>
      <c r="J310" t="str">
        <f t="shared" si="82"/>
        <v>DELIVERED</v>
      </c>
    </row>
    <row r="311" spans="1:10" x14ac:dyDescent="0.25">
      <c r="A311" t="str">
        <f>"0000113231"</f>
        <v>0000113231</v>
      </c>
      <c r="B311" t="str">
        <f>"0001104527"</f>
        <v>0001104527</v>
      </c>
      <c r="C311" t="str">
        <f t="shared" si="77"/>
        <v xml:space="preserve">TR40/24 </v>
      </c>
      <c r="D311" t="str">
        <f>"56"</f>
        <v>56</v>
      </c>
      <c r="E311">
        <v>25.625</v>
      </c>
      <c r="F311">
        <v>3181</v>
      </c>
      <c r="G311" t="str">
        <f>"1031813445"</f>
        <v>1031813445</v>
      </c>
      <c r="H311" t="str">
        <f t="shared" si="81"/>
        <v>2025-12-02</v>
      </c>
      <c r="I311" t="str">
        <f>"2512027764"</f>
        <v>2512027764</v>
      </c>
      <c r="J311" t="str">
        <f t="shared" si="82"/>
        <v>DELIVERED</v>
      </c>
    </row>
    <row r="312" spans="1:10" x14ac:dyDescent="0.25">
      <c r="A312" t="str">
        <f>"0000113362"</f>
        <v>0000113362</v>
      </c>
      <c r="B312" t="str">
        <f>"0001101727"</f>
        <v>0001101727</v>
      </c>
      <c r="C312" t="str">
        <f t="shared" si="77"/>
        <v xml:space="preserve">TR40/24 </v>
      </c>
      <c r="D312" t="str">
        <f>"73"</f>
        <v>73</v>
      </c>
      <c r="E312">
        <v>12.42</v>
      </c>
      <c r="F312">
        <v>1573</v>
      </c>
      <c r="G312" t="str">
        <f>"1031807902"</f>
        <v>1031807902</v>
      </c>
      <c r="H312" t="str">
        <f t="shared" si="81"/>
        <v>2025-12-02</v>
      </c>
      <c r="I312" t="str">
        <f>"2512018163"</f>
        <v>2512018163</v>
      </c>
      <c r="J312" t="str">
        <f t="shared" si="82"/>
        <v>DELIVERED</v>
      </c>
    </row>
    <row r="313" spans="1:10" x14ac:dyDescent="0.25">
      <c r="A313" t="str">
        <f>"0000113362"</f>
        <v>0000113362</v>
      </c>
      <c r="B313" t="str">
        <f>"0001101727"</f>
        <v>0001101727</v>
      </c>
      <c r="C313" t="str">
        <f t="shared" si="77"/>
        <v xml:space="preserve">TR40/24 </v>
      </c>
      <c r="D313" t="str">
        <f>"73"</f>
        <v>73</v>
      </c>
      <c r="E313">
        <v>46.292999999999999</v>
      </c>
      <c r="F313">
        <v>92</v>
      </c>
      <c r="G313" t="str">
        <f>"1031807903"</f>
        <v>1031807903</v>
      </c>
      <c r="H313" t="str">
        <f t="shared" si="81"/>
        <v>2025-12-02</v>
      </c>
      <c r="I313" t="str">
        <f>"2512018163"</f>
        <v>2512018163</v>
      </c>
      <c r="J313" t="str">
        <f t="shared" si="82"/>
        <v>DELIVERED</v>
      </c>
    </row>
    <row r="314" spans="1:10" x14ac:dyDescent="0.25">
      <c r="A314" t="str">
        <f>"0000113362"</f>
        <v>0000113362</v>
      </c>
      <c r="B314" t="str">
        <f>"0001101727"</f>
        <v>0001101727</v>
      </c>
      <c r="C314" t="str">
        <f t="shared" si="77"/>
        <v xml:space="preserve">TR40/24 </v>
      </c>
      <c r="D314" t="str">
        <f>"73"</f>
        <v>73</v>
      </c>
      <c r="E314">
        <v>27.876999999999999</v>
      </c>
      <c r="F314">
        <v>5034</v>
      </c>
      <c r="G314" t="str">
        <f>"1031811370"</f>
        <v>1031811370</v>
      </c>
      <c r="H314" t="str">
        <f t="shared" si="81"/>
        <v>2025-12-02</v>
      </c>
      <c r="I314" t="str">
        <f>"2512028646"</f>
        <v>2512028646</v>
      </c>
      <c r="J314" t="str">
        <f t="shared" si="82"/>
        <v>DELIVERED</v>
      </c>
    </row>
    <row r="315" spans="1:10" x14ac:dyDescent="0.25">
      <c r="A315" t="str">
        <f>"0000113388"</f>
        <v>0000113388</v>
      </c>
      <c r="B315" t="str">
        <f>"0001101215"</f>
        <v>0001101215</v>
      </c>
      <c r="C315" t="str">
        <f t="shared" si="77"/>
        <v xml:space="preserve">TR40/24 </v>
      </c>
      <c r="D315" t="str">
        <f>"55"</f>
        <v>55</v>
      </c>
      <c r="E315">
        <v>2.4860000000000002</v>
      </c>
      <c r="F315">
        <v>120</v>
      </c>
      <c r="G315" t="str">
        <f>"1031816118"</f>
        <v>1031816118</v>
      </c>
      <c r="H315" t="str">
        <f t="shared" si="81"/>
        <v>2025-12-02</v>
      </c>
      <c r="I315" t="str">
        <f>"2512028862"</f>
        <v>2512028862</v>
      </c>
      <c r="J315" t="str">
        <f t="shared" si="82"/>
        <v>DELIVERED</v>
      </c>
    </row>
    <row r="316" spans="1:10" x14ac:dyDescent="0.25">
      <c r="A316" t="str">
        <f t="shared" ref="A316:A322" si="83">"0000113450"</f>
        <v>0000113450</v>
      </c>
      <c r="B316" t="str">
        <f t="shared" ref="B316:B322" si="84">"0001104583"</f>
        <v>0001104583</v>
      </c>
      <c r="C316" t="str">
        <f t="shared" si="77"/>
        <v xml:space="preserve">TR40/24 </v>
      </c>
      <c r="D316" t="str">
        <f t="shared" ref="D316:D322" si="85">"99"</f>
        <v>99</v>
      </c>
      <c r="E316">
        <v>772.30799999999999</v>
      </c>
      <c r="F316">
        <v>1248</v>
      </c>
      <c r="G316" t="str">
        <f>"1031811400"</f>
        <v>1031811400</v>
      </c>
      <c r="H316" t="str">
        <f t="shared" si="81"/>
        <v>2025-12-02</v>
      </c>
      <c r="I316" t="str">
        <f>"2512028394"</f>
        <v>2512028394</v>
      </c>
      <c r="J316" t="str">
        <f t="shared" si="82"/>
        <v>DELIVERED</v>
      </c>
    </row>
    <row r="317" spans="1:10" x14ac:dyDescent="0.25">
      <c r="A317" t="str">
        <f t="shared" si="83"/>
        <v>0000113450</v>
      </c>
      <c r="B317" t="str">
        <f t="shared" si="84"/>
        <v>0001104583</v>
      </c>
      <c r="C317" t="str">
        <f t="shared" si="77"/>
        <v xml:space="preserve">TR40/24 </v>
      </c>
      <c r="D317" t="str">
        <f t="shared" si="85"/>
        <v>99</v>
      </c>
      <c r="E317">
        <v>890.58399999999995</v>
      </c>
      <c r="F317">
        <v>1423</v>
      </c>
      <c r="G317" t="str">
        <f>"1031811405"</f>
        <v>1031811405</v>
      </c>
      <c r="H317" t="str">
        <f t="shared" si="81"/>
        <v>2025-12-02</v>
      </c>
      <c r="I317" t="str">
        <f>"2512028528"</f>
        <v>2512028528</v>
      </c>
      <c r="J317" t="str">
        <f t="shared" si="82"/>
        <v>DELIVERED</v>
      </c>
    </row>
    <row r="318" spans="1:10" x14ac:dyDescent="0.25">
      <c r="A318" t="str">
        <f t="shared" si="83"/>
        <v>0000113450</v>
      </c>
      <c r="B318" t="str">
        <f t="shared" si="84"/>
        <v>0001104583</v>
      </c>
      <c r="C318" t="str">
        <f t="shared" si="77"/>
        <v xml:space="preserve">TR40/24 </v>
      </c>
      <c r="D318" t="str">
        <f t="shared" si="85"/>
        <v>99</v>
      </c>
      <c r="E318">
        <v>960.34900000000005</v>
      </c>
      <c r="F318">
        <v>1357</v>
      </c>
      <c r="G318" t="str">
        <f>"1031811406"</f>
        <v>1031811406</v>
      </c>
      <c r="H318" t="str">
        <f t="shared" si="81"/>
        <v>2025-12-02</v>
      </c>
      <c r="I318" t="str">
        <f>"2512028004"</f>
        <v>2512028004</v>
      </c>
      <c r="J318" t="str">
        <f t="shared" si="82"/>
        <v>DELIVERED</v>
      </c>
    </row>
    <row r="319" spans="1:10" x14ac:dyDescent="0.25">
      <c r="A319" t="str">
        <f t="shared" si="83"/>
        <v>0000113450</v>
      </c>
      <c r="B319" t="str">
        <f t="shared" si="84"/>
        <v>0001104583</v>
      </c>
      <c r="C319" t="str">
        <f t="shared" si="77"/>
        <v xml:space="preserve">TR40/24 </v>
      </c>
      <c r="D319" t="str">
        <f t="shared" si="85"/>
        <v>99</v>
      </c>
      <c r="E319">
        <v>848.82299999999998</v>
      </c>
      <c r="F319">
        <v>1204</v>
      </c>
      <c r="G319" t="str">
        <f>"1031811408"</f>
        <v>1031811408</v>
      </c>
      <c r="H319" t="str">
        <f t="shared" si="81"/>
        <v>2025-12-02</v>
      </c>
      <c r="I319" t="str">
        <f>"2512040289"</f>
        <v>2512040289</v>
      </c>
      <c r="J319" t="str">
        <f>"NOT DELIVERED"</f>
        <v>NOT DELIVERED</v>
      </c>
    </row>
    <row r="320" spans="1:10" x14ac:dyDescent="0.25">
      <c r="A320" t="str">
        <f t="shared" si="83"/>
        <v>0000113450</v>
      </c>
      <c r="B320" t="str">
        <f t="shared" si="84"/>
        <v>0001104583</v>
      </c>
      <c r="C320" t="str">
        <f t="shared" si="77"/>
        <v xml:space="preserve">TR40/24 </v>
      </c>
      <c r="D320" t="str">
        <f t="shared" si="85"/>
        <v>99</v>
      </c>
      <c r="E320">
        <v>451.6</v>
      </c>
      <c r="F320">
        <v>896</v>
      </c>
      <c r="G320" t="str">
        <f>"1031813858"</f>
        <v>1031813858</v>
      </c>
      <c r="H320" t="str">
        <f t="shared" si="81"/>
        <v>2025-12-02</v>
      </c>
      <c r="I320" t="str">
        <f>"2512028529"</f>
        <v>2512028529</v>
      </c>
      <c r="J320" t="str">
        <f t="shared" ref="J320:J351" si="86">"DELIVERED"</f>
        <v>DELIVERED</v>
      </c>
    </row>
    <row r="321" spans="1:10" x14ac:dyDescent="0.25">
      <c r="A321" t="str">
        <f t="shared" si="83"/>
        <v>0000113450</v>
      </c>
      <c r="B321" t="str">
        <f t="shared" si="84"/>
        <v>0001104583</v>
      </c>
      <c r="C321" t="str">
        <f t="shared" si="77"/>
        <v xml:space="preserve">TR40/24 </v>
      </c>
      <c r="D321" t="str">
        <f t="shared" si="85"/>
        <v>99</v>
      </c>
      <c r="E321">
        <v>705.32100000000003</v>
      </c>
      <c r="F321">
        <v>1261</v>
      </c>
      <c r="G321" t="str">
        <f>"1031814283"</f>
        <v>1031814283</v>
      </c>
      <c r="H321" t="str">
        <f t="shared" si="81"/>
        <v>2025-12-02</v>
      </c>
      <c r="I321" t="str">
        <f>"2512028526"</f>
        <v>2512028526</v>
      </c>
      <c r="J321" t="str">
        <f t="shared" si="86"/>
        <v>DELIVERED</v>
      </c>
    </row>
    <row r="322" spans="1:10" x14ac:dyDescent="0.25">
      <c r="A322" t="str">
        <f t="shared" si="83"/>
        <v>0000113450</v>
      </c>
      <c r="B322" t="str">
        <f t="shared" si="84"/>
        <v>0001104583</v>
      </c>
      <c r="C322" t="str">
        <f t="shared" si="77"/>
        <v xml:space="preserve">TR40/24 </v>
      </c>
      <c r="D322" t="str">
        <f t="shared" si="85"/>
        <v>99</v>
      </c>
      <c r="E322">
        <v>788.67700000000002</v>
      </c>
      <c r="F322">
        <v>1431</v>
      </c>
      <c r="G322" t="str">
        <f>"1031814288"</f>
        <v>1031814288</v>
      </c>
      <c r="H322" t="str">
        <f t="shared" si="81"/>
        <v>2025-12-02</v>
      </c>
      <c r="I322" t="str">
        <f>"2512028527"</f>
        <v>2512028527</v>
      </c>
      <c r="J322" t="str">
        <f t="shared" si="86"/>
        <v>DELIVERED</v>
      </c>
    </row>
    <row r="323" spans="1:10" x14ac:dyDescent="0.25">
      <c r="A323" t="str">
        <f>"0000113923"</f>
        <v>0000113923</v>
      </c>
      <c r="B323" t="str">
        <f>"0001101172"</f>
        <v>0001101172</v>
      </c>
      <c r="C323" t="str">
        <f t="shared" ref="C323:C354" si="87">"TR40/24 "</f>
        <v xml:space="preserve">TR40/24 </v>
      </c>
      <c r="D323" t="str">
        <f>"13"</f>
        <v>13</v>
      </c>
      <c r="E323">
        <v>10.518000000000001</v>
      </c>
      <c r="F323">
        <v>2214</v>
      </c>
      <c r="G323" t="str">
        <f>"1031815025"</f>
        <v>1031815025</v>
      </c>
      <c r="H323" t="str">
        <f t="shared" si="81"/>
        <v>2025-12-02</v>
      </c>
      <c r="I323" t="str">
        <f>"2512028583"</f>
        <v>2512028583</v>
      </c>
      <c r="J323" t="str">
        <f t="shared" si="86"/>
        <v>DELIVERED</v>
      </c>
    </row>
    <row r="324" spans="1:10" x14ac:dyDescent="0.25">
      <c r="A324" t="str">
        <f>"0000113923"</f>
        <v>0000113923</v>
      </c>
      <c r="B324" t="str">
        <f>"0001101172"</f>
        <v>0001101172</v>
      </c>
      <c r="C324" t="str">
        <f t="shared" si="87"/>
        <v xml:space="preserve">TR40/24 </v>
      </c>
      <c r="D324" t="str">
        <f>"13"</f>
        <v>13</v>
      </c>
      <c r="E324">
        <v>12.492000000000001</v>
      </c>
      <c r="F324">
        <v>1174</v>
      </c>
      <c r="G324" t="str">
        <f>"1031815035"</f>
        <v>1031815035</v>
      </c>
      <c r="H324" t="str">
        <f t="shared" si="81"/>
        <v>2025-12-02</v>
      </c>
      <c r="I324" t="str">
        <f>"2512028583"</f>
        <v>2512028583</v>
      </c>
      <c r="J324" t="str">
        <f t="shared" si="86"/>
        <v>DELIVERED</v>
      </c>
    </row>
    <row r="325" spans="1:10" x14ac:dyDescent="0.25">
      <c r="A325" t="str">
        <f>"0000113923"</f>
        <v>0000113923</v>
      </c>
      <c r="B325" t="str">
        <f>"0001101172"</f>
        <v>0001101172</v>
      </c>
      <c r="C325" t="str">
        <f t="shared" si="87"/>
        <v xml:space="preserve">TR40/24 </v>
      </c>
      <c r="D325" t="str">
        <f>"13"</f>
        <v>13</v>
      </c>
      <c r="E325">
        <v>0.64500000000000002</v>
      </c>
      <c r="F325">
        <v>179</v>
      </c>
      <c r="G325" t="str">
        <f>"1031815129"</f>
        <v>1031815129</v>
      </c>
      <c r="H325" t="str">
        <f t="shared" si="81"/>
        <v>2025-12-02</v>
      </c>
      <c r="I325" t="str">
        <f>"2512028583"</f>
        <v>2512028583</v>
      </c>
      <c r="J325" t="str">
        <f t="shared" si="86"/>
        <v>DELIVERED</v>
      </c>
    </row>
    <row r="326" spans="1:10" x14ac:dyDescent="0.25">
      <c r="A326" t="str">
        <f t="shared" ref="A326:A332" si="88">"0000113925"</f>
        <v>0000113925</v>
      </c>
      <c r="B326" t="str">
        <f t="shared" ref="B326:B332" si="89">"0001103664"</f>
        <v>0001103664</v>
      </c>
      <c r="C326" t="str">
        <f t="shared" si="87"/>
        <v xml:space="preserve">TR40/24 </v>
      </c>
      <c r="D326" t="str">
        <f t="shared" ref="D326:D332" si="90">"56"</f>
        <v>56</v>
      </c>
      <c r="E326">
        <v>6.8890000000000002</v>
      </c>
      <c r="F326">
        <v>2475</v>
      </c>
      <c r="G326" t="str">
        <f>"1031797439"</f>
        <v>1031797439</v>
      </c>
      <c r="H326" t="str">
        <f t="shared" si="81"/>
        <v>2025-12-02</v>
      </c>
      <c r="I326" t="str">
        <f t="shared" ref="I326:I332" si="91">"2512028579"</f>
        <v>2512028579</v>
      </c>
      <c r="J326" t="str">
        <f t="shared" si="86"/>
        <v>DELIVERED</v>
      </c>
    </row>
    <row r="327" spans="1:10" x14ac:dyDescent="0.25">
      <c r="A327" t="str">
        <f t="shared" si="88"/>
        <v>0000113925</v>
      </c>
      <c r="B327" t="str">
        <f t="shared" si="89"/>
        <v>0001103664</v>
      </c>
      <c r="C327" t="str">
        <f t="shared" si="87"/>
        <v xml:space="preserve">TR40/24 </v>
      </c>
      <c r="D327" t="str">
        <f t="shared" si="90"/>
        <v>56</v>
      </c>
      <c r="E327">
        <v>7.6749999999999998</v>
      </c>
      <c r="F327">
        <v>2210</v>
      </c>
      <c r="G327" t="str">
        <f>"1031797445"</f>
        <v>1031797445</v>
      </c>
      <c r="H327" t="str">
        <f t="shared" si="81"/>
        <v>2025-12-02</v>
      </c>
      <c r="I327" t="str">
        <f t="shared" si="91"/>
        <v>2512028579</v>
      </c>
      <c r="J327" t="str">
        <f t="shared" si="86"/>
        <v>DELIVERED</v>
      </c>
    </row>
    <row r="328" spans="1:10" x14ac:dyDescent="0.25">
      <c r="A328" t="str">
        <f t="shared" si="88"/>
        <v>0000113925</v>
      </c>
      <c r="B328" t="str">
        <f t="shared" si="89"/>
        <v>0001103664</v>
      </c>
      <c r="C328" t="str">
        <f t="shared" si="87"/>
        <v xml:space="preserve">TR40/24 </v>
      </c>
      <c r="D328" t="str">
        <f t="shared" si="90"/>
        <v>56</v>
      </c>
      <c r="E328">
        <v>8.3849999999999998</v>
      </c>
      <c r="F328">
        <v>2530</v>
      </c>
      <c r="G328" t="str">
        <f>"1031797446"</f>
        <v>1031797446</v>
      </c>
      <c r="H328" t="str">
        <f t="shared" ref="H328:H359" si="92">"2025-12-02"</f>
        <v>2025-12-02</v>
      </c>
      <c r="I328" t="str">
        <f t="shared" si="91"/>
        <v>2512028579</v>
      </c>
      <c r="J328" t="str">
        <f t="shared" si="86"/>
        <v>DELIVERED</v>
      </c>
    </row>
    <row r="329" spans="1:10" x14ac:dyDescent="0.25">
      <c r="A329" t="str">
        <f t="shared" si="88"/>
        <v>0000113925</v>
      </c>
      <c r="B329" t="str">
        <f t="shared" si="89"/>
        <v>0001103664</v>
      </c>
      <c r="C329" t="str">
        <f t="shared" si="87"/>
        <v xml:space="preserve">TR40/24 </v>
      </c>
      <c r="D329" t="str">
        <f t="shared" si="90"/>
        <v>56</v>
      </c>
      <c r="E329">
        <v>0.51500000000000001</v>
      </c>
      <c r="F329">
        <v>707</v>
      </c>
      <c r="G329" t="str">
        <f>"1031814318"</f>
        <v>1031814318</v>
      </c>
      <c r="H329" t="str">
        <f t="shared" si="92"/>
        <v>2025-12-02</v>
      </c>
      <c r="I329" t="str">
        <f t="shared" si="91"/>
        <v>2512028579</v>
      </c>
      <c r="J329" t="str">
        <f t="shared" si="86"/>
        <v>DELIVERED</v>
      </c>
    </row>
    <row r="330" spans="1:10" x14ac:dyDescent="0.25">
      <c r="A330" t="str">
        <f t="shared" si="88"/>
        <v>0000113925</v>
      </c>
      <c r="B330" t="str">
        <f t="shared" si="89"/>
        <v>0001103664</v>
      </c>
      <c r="C330" t="str">
        <f t="shared" si="87"/>
        <v xml:space="preserve">TR40/24 </v>
      </c>
      <c r="D330" t="str">
        <f t="shared" si="90"/>
        <v>56</v>
      </c>
      <c r="E330">
        <v>0.876</v>
      </c>
      <c r="F330">
        <v>1103</v>
      </c>
      <c r="G330" t="str">
        <f>"1031814319"</f>
        <v>1031814319</v>
      </c>
      <c r="H330" t="str">
        <f t="shared" si="92"/>
        <v>2025-12-02</v>
      </c>
      <c r="I330" t="str">
        <f t="shared" si="91"/>
        <v>2512028579</v>
      </c>
      <c r="J330" t="str">
        <f t="shared" si="86"/>
        <v>DELIVERED</v>
      </c>
    </row>
    <row r="331" spans="1:10" x14ac:dyDescent="0.25">
      <c r="A331" t="str">
        <f t="shared" si="88"/>
        <v>0000113925</v>
      </c>
      <c r="B331" t="str">
        <f t="shared" si="89"/>
        <v>0001103664</v>
      </c>
      <c r="C331" t="str">
        <f t="shared" si="87"/>
        <v xml:space="preserve">TR40/24 </v>
      </c>
      <c r="D331" t="str">
        <f t="shared" si="90"/>
        <v>56</v>
      </c>
      <c r="E331">
        <v>0.84599999999999997</v>
      </c>
      <c r="F331">
        <v>1046</v>
      </c>
      <c r="G331" t="str">
        <f>"1031814320"</f>
        <v>1031814320</v>
      </c>
      <c r="H331" t="str">
        <f t="shared" si="92"/>
        <v>2025-12-02</v>
      </c>
      <c r="I331" t="str">
        <f t="shared" si="91"/>
        <v>2512028579</v>
      </c>
      <c r="J331" t="str">
        <f t="shared" si="86"/>
        <v>DELIVERED</v>
      </c>
    </row>
    <row r="332" spans="1:10" x14ac:dyDescent="0.25">
      <c r="A332" t="str">
        <f t="shared" si="88"/>
        <v>0000113925</v>
      </c>
      <c r="B332" t="str">
        <f t="shared" si="89"/>
        <v>0001103664</v>
      </c>
      <c r="C332" t="str">
        <f t="shared" si="87"/>
        <v xml:space="preserve">TR40/24 </v>
      </c>
      <c r="D332" t="str">
        <f t="shared" si="90"/>
        <v>56</v>
      </c>
      <c r="E332">
        <v>0.98499999999999999</v>
      </c>
      <c r="F332">
        <v>1228</v>
      </c>
      <c r="G332" t="str">
        <f>"1031814321"</f>
        <v>1031814321</v>
      </c>
      <c r="H332" t="str">
        <f t="shared" si="92"/>
        <v>2025-12-02</v>
      </c>
      <c r="I332" t="str">
        <f t="shared" si="91"/>
        <v>2512028579</v>
      </c>
      <c r="J332" t="str">
        <f t="shared" si="86"/>
        <v>DELIVERED</v>
      </c>
    </row>
    <row r="333" spans="1:10" x14ac:dyDescent="0.25">
      <c r="A333" t="str">
        <f>"0000114070"</f>
        <v>0000114070</v>
      </c>
      <c r="B333" t="str">
        <f>"0001104284"</f>
        <v>0001104284</v>
      </c>
      <c r="C333" t="str">
        <f t="shared" si="87"/>
        <v xml:space="preserve">TR40/24 </v>
      </c>
      <c r="D333" t="str">
        <f>"06"</f>
        <v>06</v>
      </c>
      <c r="E333">
        <v>18.202999999999999</v>
      </c>
      <c r="F333">
        <v>2250</v>
      </c>
      <c r="G333" t="str">
        <f>"1031813997"</f>
        <v>1031813997</v>
      </c>
      <c r="H333" t="str">
        <f t="shared" si="92"/>
        <v>2025-12-02</v>
      </c>
      <c r="I333" t="str">
        <f>"2512017762"</f>
        <v>2512017762</v>
      </c>
      <c r="J333" t="str">
        <f t="shared" si="86"/>
        <v>DELIVERED</v>
      </c>
    </row>
    <row r="334" spans="1:10" x14ac:dyDescent="0.25">
      <c r="A334" t="str">
        <f>"0000114073"</f>
        <v>0000114073</v>
      </c>
      <c r="B334" t="str">
        <f>"0001103092"</f>
        <v>0001103092</v>
      </c>
      <c r="C334" t="str">
        <f t="shared" si="87"/>
        <v xml:space="preserve">TR40/24 </v>
      </c>
      <c r="D334" t="str">
        <f>"99"</f>
        <v>99</v>
      </c>
      <c r="E334">
        <v>11.247999999999999</v>
      </c>
      <c r="F334">
        <v>2538</v>
      </c>
      <c r="G334" t="str">
        <f>"1031813705"</f>
        <v>1031813705</v>
      </c>
      <c r="H334" t="str">
        <f t="shared" si="92"/>
        <v>2025-12-02</v>
      </c>
      <c r="I334" t="str">
        <f>"2512028749"</f>
        <v>2512028749</v>
      </c>
      <c r="J334" t="str">
        <f t="shared" si="86"/>
        <v>DELIVERED</v>
      </c>
    </row>
    <row r="335" spans="1:10" x14ac:dyDescent="0.25">
      <c r="A335" t="str">
        <f>"0000114098"</f>
        <v>0000114098</v>
      </c>
      <c r="B335" t="str">
        <f>"0001101400"</f>
        <v>0001101400</v>
      </c>
      <c r="C335" t="str">
        <f t="shared" si="87"/>
        <v xml:space="preserve">TR40/24 </v>
      </c>
      <c r="D335" t="str">
        <f>"65"</f>
        <v>65</v>
      </c>
      <c r="E335">
        <v>4.9790000000000001</v>
      </c>
      <c r="F335">
        <v>1749</v>
      </c>
      <c r="G335" t="str">
        <f>"1031809960"</f>
        <v>1031809960</v>
      </c>
      <c r="H335" t="str">
        <f t="shared" si="92"/>
        <v>2025-12-02</v>
      </c>
      <c r="I335" t="str">
        <f>"2512028570"</f>
        <v>2512028570</v>
      </c>
      <c r="J335" t="str">
        <f t="shared" si="86"/>
        <v>DELIVERED</v>
      </c>
    </row>
    <row r="336" spans="1:10" x14ac:dyDescent="0.25">
      <c r="A336" t="str">
        <f>"0000114098"</f>
        <v>0000114098</v>
      </c>
      <c r="B336" t="str">
        <f>"0001101400"</f>
        <v>0001101400</v>
      </c>
      <c r="C336" t="str">
        <f t="shared" si="87"/>
        <v xml:space="preserve">TR40/24 </v>
      </c>
      <c r="D336" t="str">
        <f>"65"</f>
        <v>65</v>
      </c>
      <c r="E336">
        <v>4.83</v>
      </c>
      <c r="F336">
        <v>1467</v>
      </c>
      <c r="G336" t="str">
        <f>"1031809962"</f>
        <v>1031809962</v>
      </c>
      <c r="H336" t="str">
        <f t="shared" si="92"/>
        <v>2025-12-02</v>
      </c>
      <c r="I336" t="str">
        <f>"2512028570"</f>
        <v>2512028570</v>
      </c>
      <c r="J336" t="str">
        <f t="shared" si="86"/>
        <v>DELIVERED</v>
      </c>
    </row>
    <row r="337" spans="1:10" x14ac:dyDescent="0.25">
      <c r="A337" t="str">
        <f>"0000114098"</f>
        <v>0000114098</v>
      </c>
      <c r="B337" t="str">
        <f>"0001101400"</f>
        <v>0001101400</v>
      </c>
      <c r="C337" t="str">
        <f t="shared" si="87"/>
        <v xml:space="preserve">TR40/24 </v>
      </c>
      <c r="D337" t="str">
        <f>"65"</f>
        <v>65</v>
      </c>
      <c r="E337">
        <v>1.4379999999999999</v>
      </c>
      <c r="F337">
        <v>140</v>
      </c>
      <c r="G337" t="str">
        <f>"1031815033"</f>
        <v>1031815033</v>
      </c>
      <c r="H337" t="str">
        <f t="shared" si="92"/>
        <v>2025-12-02</v>
      </c>
      <c r="I337" t="str">
        <f>"2512028570"</f>
        <v>2512028570</v>
      </c>
      <c r="J337" t="str">
        <f t="shared" si="86"/>
        <v>DELIVERED</v>
      </c>
    </row>
    <row r="338" spans="1:10" x14ac:dyDescent="0.25">
      <c r="A338" t="str">
        <f t="shared" ref="A338:A352" si="93">"0000114114"</f>
        <v>0000114114</v>
      </c>
      <c r="B338" t="str">
        <f t="shared" ref="B338:B352" si="94">"0001101798"</f>
        <v>0001101798</v>
      </c>
      <c r="C338" t="str">
        <f t="shared" si="87"/>
        <v xml:space="preserve">TR40/24 </v>
      </c>
      <c r="D338" t="str">
        <f t="shared" ref="D338:D352" si="95">"01"</f>
        <v>01</v>
      </c>
      <c r="E338">
        <v>276.41199999999998</v>
      </c>
      <c r="F338">
        <v>550</v>
      </c>
      <c r="G338" t="str">
        <f>"1031816022"</f>
        <v>1031816022</v>
      </c>
      <c r="H338" t="str">
        <f t="shared" si="92"/>
        <v>2025-12-02</v>
      </c>
      <c r="I338" t="str">
        <f>"2512028769"</f>
        <v>2512028769</v>
      </c>
      <c r="J338" t="str">
        <f t="shared" si="86"/>
        <v>DELIVERED</v>
      </c>
    </row>
    <row r="339" spans="1:10" x14ac:dyDescent="0.25">
      <c r="A339" t="str">
        <f t="shared" si="93"/>
        <v>0000114114</v>
      </c>
      <c r="B339" t="str">
        <f t="shared" si="94"/>
        <v>0001101798</v>
      </c>
      <c r="C339" t="str">
        <f t="shared" si="87"/>
        <v xml:space="preserve">TR40/24 </v>
      </c>
      <c r="D339" t="str">
        <f t="shared" si="95"/>
        <v>01</v>
      </c>
      <c r="E339">
        <v>1.4019999999999999</v>
      </c>
      <c r="F339">
        <v>194</v>
      </c>
      <c r="G339" t="str">
        <f>"1031816023"</f>
        <v>1031816023</v>
      </c>
      <c r="H339" t="str">
        <f t="shared" si="92"/>
        <v>2025-12-02</v>
      </c>
      <c r="I339" t="str">
        <f>"2512028608"</f>
        <v>2512028608</v>
      </c>
      <c r="J339" t="str">
        <f t="shared" si="86"/>
        <v>DELIVERED</v>
      </c>
    </row>
    <row r="340" spans="1:10" x14ac:dyDescent="0.25">
      <c r="A340" t="str">
        <f t="shared" si="93"/>
        <v>0000114114</v>
      </c>
      <c r="B340" t="str">
        <f t="shared" si="94"/>
        <v>0001101798</v>
      </c>
      <c r="C340" t="str">
        <f t="shared" si="87"/>
        <v xml:space="preserve">TR40/24 </v>
      </c>
      <c r="D340" t="str">
        <f t="shared" si="95"/>
        <v>01</v>
      </c>
      <c r="E340">
        <v>7.056</v>
      </c>
      <c r="F340">
        <v>14</v>
      </c>
      <c r="G340" t="str">
        <f>"1031816024"</f>
        <v>1031816024</v>
      </c>
      <c r="H340" t="str">
        <f t="shared" si="92"/>
        <v>2025-12-02</v>
      </c>
      <c r="I340" t="str">
        <f>"2512028769"</f>
        <v>2512028769</v>
      </c>
      <c r="J340" t="str">
        <f t="shared" si="86"/>
        <v>DELIVERED</v>
      </c>
    </row>
    <row r="341" spans="1:10" x14ac:dyDescent="0.25">
      <c r="A341" t="str">
        <f t="shared" si="93"/>
        <v>0000114114</v>
      </c>
      <c r="B341" t="str">
        <f t="shared" si="94"/>
        <v>0001101798</v>
      </c>
      <c r="C341" t="str">
        <f t="shared" si="87"/>
        <v xml:space="preserve">TR40/24 </v>
      </c>
      <c r="D341" t="str">
        <f t="shared" si="95"/>
        <v>01</v>
      </c>
      <c r="E341">
        <v>1.256</v>
      </c>
      <c r="F341">
        <v>264</v>
      </c>
      <c r="G341" t="str">
        <f>"1031816025"</f>
        <v>1031816025</v>
      </c>
      <c r="H341" t="str">
        <f t="shared" si="92"/>
        <v>2025-12-02</v>
      </c>
      <c r="I341" t="str">
        <f>"2512028608"</f>
        <v>2512028608</v>
      </c>
      <c r="J341" t="str">
        <f t="shared" si="86"/>
        <v>DELIVERED</v>
      </c>
    </row>
    <row r="342" spans="1:10" x14ac:dyDescent="0.25">
      <c r="A342" t="str">
        <f t="shared" si="93"/>
        <v>0000114114</v>
      </c>
      <c r="B342" t="str">
        <f t="shared" si="94"/>
        <v>0001101798</v>
      </c>
      <c r="C342" t="str">
        <f t="shared" si="87"/>
        <v xml:space="preserve">TR40/24 </v>
      </c>
      <c r="D342" t="str">
        <f t="shared" si="95"/>
        <v>01</v>
      </c>
      <c r="E342">
        <v>14.108000000000001</v>
      </c>
      <c r="F342">
        <v>28</v>
      </c>
      <c r="G342" t="str">
        <f>"1031816026"</f>
        <v>1031816026</v>
      </c>
      <c r="H342" t="str">
        <f t="shared" si="92"/>
        <v>2025-12-02</v>
      </c>
      <c r="I342" t="str">
        <f>"2512028769"</f>
        <v>2512028769</v>
      </c>
      <c r="J342" t="str">
        <f t="shared" si="86"/>
        <v>DELIVERED</v>
      </c>
    </row>
    <row r="343" spans="1:10" x14ac:dyDescent="0.25">
      <c r="A343" t="str">
        <f t="shared" si="93"/>
        <v>0000114114</v>
      </c>
      <c r="B343" t="str">
        <f t="shared" si="94"/>
        <v>0001101798</v>
      </c>
      <c r="C343" t="str">
        <f t="shared" si="87"/>
        <v xml:space="preserve">TR40/24 </v>
      </c>
      <c r="D343" t="str">
        <f t="shared" si="95"/>
        <v>01</v>
      </c>
      <c r="E343">
        <v>1.641</v>
      </c>
      <c r="F343">
        <v>933</v>
      </c>
      <c r="G343" t="str">
        <f>"1031816027"</f>
        <v>1031816027</v>
      </c>
      <c r="H343" t="str">
        <f t="shared" si="92"/>
        <v>2025-12-02</v>
      </c>
      <c r="I343" t="str">
        <f>"2512028608"</f>
        <v>2512028608</v>
      </c>
      <c r="J343" t="str">
        <f t="shared" si="86"/>
        <v>DELIVERED</v>
      </c>
    </row>
    <row r="344" spans="1:10" x14ac:dyDescent="0.25">
      <c r="A344" t="str">
        <f t="shared" si="93"/>
        <v>0000114114</v>
      </c>
      <c r="B344" t="str">
        <f t="shared" si="94"/>
        <v>0001101798</v>
      </c>
      <c r="C344" t="str">
        <f t="shared" si="87"/>
        <v xml:space="preserve">TR40/24 </v>
      </c>
      <c r="D344" t="str">
        <f t="shared" si="95"/>
        <v>01</v>
      </c>
      <c r="E344">
        <v>4.3049999999999997</v>
      </c>
      <c r="F344">
        <v>1598</v>
      </c>
      <c r="G344" t="str">
        <f>"1031816028"</f>
        <v>1031816028</v>
      </c>
      <c r="H344" t="str">
        <f t="shared" si="92"/>
        <v>2025-12-02</v>
      </c>
      <c r="I344" t="str">
        <f>"2512028608"</f>
        <v>2512028608</v>
      </c>
      <c r="J344" t="str">
        <f t="shared" si="86"/>
        <v>DELIVERED</v>
      </c>
    </row>
    <row r="345" spans="1:10" x14ac:dyDescent="0.25">
      <c r="A345" t="str">
        <f t="shared" si="93"/>
        <v>0000114114</v>
      </c>
      <c r="B345" t="str">
        <f t="shared" si="94"/>
        <v>0001101798</v>
      </c>
      <c r="C345" t="str">
        <f t="shared" si="87"/>
        <v xml:space="preserve">TR40/24 </v>
      </c>
      <c r="D345" t="str">
        <f t="shared" si="95"/>
        <v>01</v>
      </c>
      <c r="E345">
        <v>1.226</v>
      </c>
      <c r="F345">
        <v>261</v>
      </c>
      <c r="G345" t="str">
        <f>"1031816029"</f>
        <v>1031816029</v>
      </c>
      <c r="H345" t="str">
        <f t="shared" si="92"/>
        <v>2025-12-02</v>
      </c>
      <c r="I345" t="str">
        <f>"2512028578"</f>
        <v>2512028578</v>
      </c>
      <c r="J345" t="str">
        <f t="shared" si="86"/>
        <v>DELIVERED</v>
      </c>
    </row>
    <row r="346" spans="1:10" x14ac:dyDescent="0.25">
      <c r="A346" t="str">
        <f t="shared" si="93"/>
        <v>0000114114</v>
      </c>
      <c r="B346" t="str">
        <f t="shared" si="94"/>
        <v>0001101798</v>
      </c>
      <c r="C346" t="str">
        <f t="shared" si="87"/>
        <v xml:space="preserve">TR40/24 </v>
      </c>
      <c r="D346" t="str">
        <f t="shared" si="95"/>
        <v>01</v>
      </c>
      <c r="E346">
        <v>32.122999999999998</v>
      </c>
      <c r="F346">
        <v>64</v>
      </c>
      <c r="G346" t="str">
        <f>"1031816067"</f>
        <v>1031816067</v>
      </c>
      <c r="H346" t="str">
        <f t="shared" si="92"/>
        <v>2025-12-02</v>
      </c>
      <c r="I346" t="str">
        <f>"2512028771"</f>
        <v>2512028771</v>
      </c>
      <c r="J346" t="str">
        <f t="shared" si="86"/>
        <v>DELIVERED</v>
      </c>
    </row>
    <row r="347" spans="1:10" x14ac:dyDescent="0.25">
      <c r="A347" t="str">
        <f t="shared" si="93"/>
        <v>0000114114</v>
      </c>
      <c r="B347" t="str">
        <f t="shared" si="94"/>
        <v>0001101798</v>
      </c>
      <c r="C347" t="str">
        <f t="shared" si="87"/>
        <v xml:space="preserve">TR40/24 </v>
      </c>
      <c r="D347" t="str">
        <f t="shared" si="95"/>
        <v>01</v>
      </c>
      <c r="E347">
        <v>3.262</v>
      </c>
      <c r="F347">
        <v>382</v>
      </c>
      <c r="G347" t="str">
        <f>"1031816068"</f>
        <v>1031816068</v>
      </c>
      <c r="H347" t="str">
        <f t="shared" si="92"/>
        <v>2025-12-02</v>
      </c>
      <c r="I347" t="str">
        <f>"2512028578"</f>
        <v>2512028578</v>
      </c>
      <c r="J347" t="str">
        <f t="shared" si="86"/>
        <v>DELIVERED</v>
      </c>
    </row>
    <row r="348" spans="1:10" x14ac:dyDescent="0.25">
      <c r="A348" t="str">
        <f t="shared" si="93"/>
        <v>0000114114</v>
      </c>
      <c r="B348" t="str">
        <f t="shared" si="94"/>
        <v>0001101798</v>
      </c>
      <c r="C348" t="str">
        <f t="shared" si="87"/>
        <v xml:space="preserve">TR40/24 </v>
      </c>
      <c r="D348" t="str">
        <f t="shared" si="95"/>
        <v>01</v>
      </c>
      <c r="E348">
        <v>4.2270000000000003</v>
      </c>
      <c r="F348">
        <v>458</v>
      </c>
      <c r="G348" t="str">
        <f>"1031816069"</f>
        <v>1031816069</v>
      </c>
      <c r="H348" t="str">
        <f t="shared" si="92"/>
        <v>2025-12-02</v>
      </c>
      <c r="I348" t="str">
        <f>"2512028578"</f>
        <v>2512028578</v>
      </c>
      <c r="J348" t="str">
        <f t="shared" si="86"/>
        <v>DELIVERED</v>
      </c>
    </row>
    <row r="349" spans="1:10" x14ac:dyDescent="0.25">
      <c r="A349" t="str">
        <f t="shared" si="93"/>
        <v>0000114114</v>
      </c>
      <c r="B349" t="str">
        <f t="shared" si="94"/>
        <v>0001101798</v>
      </c>
      <c r="C349" t="str">
        <f t="shared" si="87"/>
        <v xml:space="preserve">TR40/24 </v>
      </c>
      <c r="D349" t="str">
        <f t="shared" si="95"/>
        <v>01</v>
      </c>
      <c r="E349">
        <v>3.9380000000000002</v>
      </c>
      <c r="F349">
        <v>406</v>
      </c>
      <c r="G349" t="str">
        <f>"1031816070"</f>
        <v>1031816070</v>
      </c>
      <c r="H349" t="str">
        <f t="shared" si="92"/>
        <v>2025-12-02</v>
      </c>
      <c r="I349" t="str">
        <f>"2512028578"</f>
        <v>2512028578</v>
      </c>
      <c r="J349" t="str">
        <f t="shared" si="86"/>
        <v>DELIVERED</v>
      </c>
    </row>
    <row r="350" spans="1:10" x14ac:dyDescent="0.25">
      <c r="A350" t="str">
        <f t="shared" si="93"/>
        <v>0000114114</v>
      </c>
      <c r="B350" t="str">
        <f t="shared" si="94"/>
        <v>0001101798</v>
      </c>
      <c r="C350" t="str">
        <f t="shared" si="87"/>
        <v xml:space="preserve">TR40/24 </v>
      </c>
      <c r="D350" t="str">
        <f t="shared" si="95"/>
        <v>01</v>
      </c>
      <c r="E350">
        <v>34.573</v>
      </c>
      <c r="F350">
        <v>68</v>
      </c>
      <c r="G350" t="str">
        <f>"1031816071"</f>
        <v>1031816071</v>
      </c>
      <c r="H350" t="str">
        <f t="shared" si="92"/>
        <v>2025-12-02</v>
      </c>
      <c r="I350" t="str">
        <f>"2512028771"</f>
        <v>2512028771</v>
      </c>
      <c r="J350" t="str">
        <f t="shared" si="86"/>
        <v>DELIVERED</v>
      </c>
    </row>
    <row r="351" spans="1:10" x14ac:dyDescent="0.25">
      <c r="A351" t="str">
        <f t="shared" si="93"/>
        <v>0000114114</v>
      </c>
      <c r="B351" t="str">
        <f t="shared" si="94"/>
        <v>0001101798</v>
      </c>
      <c r="C351" t="str">
        <f t="shared" si="87"/>
        <v xml:space="preserve">TR40/24 </v>
      </c>
      <c r="D351" t="str">
        <f t="shared" si="95"/>
        <v>01</v>
      </c>
      <c r="E351">
        <v>2.97</v>
      </c>
      <c r="F351">
        <v>392</v>
      </c>
      <c r="G351" t="str">
        <f>"1031816072"</f>
        <v>1031816072</v>
      </c>
      <c r="H351" t="str">
        <f t="shared" si="92"/>
        <v>2025-12-02</v>
      </c>
      <c r="I351" t="str">
        <f>"2512028578"</f>
        <v>2512028578</v>
      </c>
      <c r="J351" t="str">
        <f t="shared" si="86"/>
        <v>DELIVERED</v>
      </c>
    </row>
    <row r="352" spans="1:10" x14ac:dyDescent="0.25">
      <c r="A352" t="str">
        <f t="shared" si="93"/>
        <v>0000114114</v>
      </c>
      <c r="B352" t="str">
        <f t="shared" si="94"/>
        <v>0001101798</v>
      </c>
      <c r="C352" t="str">
        <f t="shared" si="87"/>
        <v xml:space="preserve">TR40/24 </v>
      </c>
      <c r="D352" t="str">
        <f t="shared" si="95"/>
        <v>01</v>
      </c>
      <c r="E352">
        <v>3.0049999999999999</v>
      </c>
      <c r="F352">
        <v>604</v>
      </c>
      <c r="G352" t="str">
        <f>"1031816606"</f>
        <v>1031816606</v>
      </c>
      <c r="H352" t="str">
        <f t="shared" si="92"/>
        <v>2025-12-02</v>
      </c>
      <c r="I352" t="str">
        <f>"2512028578"</f>
        <v>2512028578</v>
      </c>
      <c r="J352" t="str">
        <f t="shared" ref="J352:J383" si="96">"DELIVERED"</f>
        <v>DELIVERED</v>
      </c>
    </row>
    <row r="353" spans="1:10" x14ac:dyDescent="0.25">
      <c r="A353" t="str">
        <f t="shared" ref="A353:A365" si="97">"0000114142"</f>
        <v>0000114142</v>
      </c>
      <c r="B353" t="str">
        <f t="shared" ref="B353:B365" si="98">"0001102636"</f>
        <v>0001102636</v>
      </c>
      <c r="C353" t="str">
        <f t="shared" si="87"/>
        <v xml:space="preserve">TR40/24 </v>
      </c>
      <c r="D353" t="str">
        <f t="shared" ref="D353:D365" si="99">"46"</f>
        <v>46</v>
      </c>
      <c r="E353">
        <v>4.1050000000000004</v>
      </c>
      <c r="F353">
        <v>1417</v>
      </c>
      <c r="G353" t="str">
        <f>"1031811681"</f>
        <v>1031811681</v>
      </c>
      <c r="H353" t="str">
        <f t="shared" si="92"/>
        <v>2025-12-02</v>
      </c>
      <c r="I353" t="str">
        <f>"2512018199"</f>
        <v>2512018199</v>
      </c>
      <c r="J353" t="str">
        <f t="shared" si="96"/>
        <v>DELIVERED</v>
      </c>
    </row>
    <row r="354" spans="1:10" x14ac:dyDescent="0.25">
      <c r="A354" t="str">
        <f t="shared" si="97"/>
        <v>0000114142</v>
      </c>
      <c r="B354" t="str">
        <f t="shared" si="98"/>
        <v>0001102636</v>
      </c>
      <c r="C354" t="str">
        <f t="shared" si="87"/>
        <v xml:space="preserve">TR40/24 </v>
      </c>
      <c r="D354" t="str">
        <f t="shared" si="99"/>
        <v>46</v>
      </c>
      <c r="E354">
        <v>10.499000000000001</v>
      </c>
      <c r="F354">
        <v>4507</v>
      </c>
      <c r="G354" t="str">
        <f>"1031811694"</f>
        <v>1031811694</v>
      </c>
      <c r="H354" t="str">
        <f t="shared" si="92"/>
        <v>2025-12-02</v>
      </c>
      <c r="I354" t="str">
        <f>"2512018348"</f>
        <v>2512018348</v>
      </c>
      <c r="J354" t="str">
        <f t="shared" si="96"/>
        <v>DELIVERED</v>
      </c>
    </row>
    <row r="355" spans="1:10" x14ac:dyDescent="0.25">
      <c r="A355" t="str">
        <f t="shared" si="97"/>
        <v>0000114142</v>
      </c>
      <c r="B355" t="str">
        <f t="shared" si="98"/>
        <v>0001102636</v>
      </c>
      <c r="C355" t="str">
        <f t="shared" ref="C355:C386" si="100">"TR40/24 "</f>
        <v xml:space="preserve">TR40/24 </v>
      </c>
      <c r="D355" t="str">
        <f t="shared" si="99"/>
        <v>46</v>
      </c>
      <c r="E355">
        <v>1.1619999999999999</v>
      </c>
      <c r="F355">
        <v>205</v>
      </c>
      <c r="G355" t="str">
        <f>"1031811706"</f>
        <v>1031811706</v>
      </c>
      <c r="H355" t="str">
        <f t="shared" si="92"/>
        <v>2025-12-02</v>
      </c>
      <c r="I355" t="str">
        <f>"2512018199"</f>
        <v>2512018199</v>
      </c>
      <c r="J355" t="str">
        <f t="shared" si="96"/>
        <v>DELIVERED</v>
      </c>
    </row>
    <row r="356" spans="1:10" x14ac:dyDescent="0.25">
      <c r="A356" t="str">
        <f t="shared" si="97"/>
        <v>0000114142</v>
      </c>
      <c r="B356" t="str">
        <f t="shared" si="98"/>
        <v>0001102636</v>
      </c>
      <c r="C356" t="str">
        <f t="shared" si="100"/>
        <v xml:space="preserve">TR40/24 </v>
      </c>
      <c r="D356" t="str">
        <f t="shared" si="99"/>
        <v>46</v>
      </c>
      <c r="E356">
        <v>1.8109999999999999</v>
      </c>
      <c r="F356">
        <v>635</v>
      </c>
      <c r="G356" t="str">
        <f>"1031811749"</f>
        <v>1031811749</v>
      </c>
      <c r="H356" t="str">
        <f t="shared" si="92"/>
        <v>2025-12-02</v>
      </c>
      <c r="I356" t="str">
        <f>"2512018199"</f>
        <v>2512018199</v>
      </c>
      <c r="J356" t="str">
        <f t="shared" si="96"/>
        <v>DELIVERED</v>
      </c>
    </row>
    <row r="357" spans="1:10" x14ac:dyDescent="0.25">
      <c r="A357" t="str">
        <f t="shared" si="97"/>
        <v>0000114142</v>
      </c>
      <c r="B357" t="str">
        <f t="shared" si="98"/>
        <v>0001102636</v>
      </c>
      <c r="C357" t="str">
        <f t="shared" si="100"/>
        <v xml:space="preserve">TR40/24 </v>
      </c>
      <c r="D357" t="str">
        <f t="shared" si="99"/>
        <v>46</v>
      </c>
      <c r="E357">
        <v>4.5149999999999997</v>
      </c>
      <c r="F357">
        <v>240</v>
      </c>
      <c r="G357" t="str">
        <f>"1031814200"</f>
        <v>1031814200</v>
      </c>
      <c r="H357" t="str">
        <f t="shared" si="92"/>
        <v>2025-12-02</v>
      </c>
      <c r="I357" t="str">
        <f t="shared" ref="I357:I364" si="101">"2512018203"</f>
        <v>2512018203</v>
      </c>
      <c r="J357" t="str">
        <f t="shared" si="96"/>
        <v>DELIVERED</v>
      </c>
    </row>
    <row r="358" spans="1:10" x14ac:dyDescent="0.25">
      <c r="A358" t="str">
        <f t="shared" si="97"/>
        <v>0000114142</v>
      </c>
      <c r="B358" t="str">
        <f t="shared" si="98"/>
        <v>0001102636</v>
      </c>
      <c r="C358" t="str">
        <f t="shared" si="100"/>
        <v xml:space="preserve">TR40/24 </v>
      </c>
      <c r="D358" t="str">
        <f t="shared" si="99"/>
        <v>46</v>
      </c>
      <c r="E358">
        <v>3.2410000000000001</v>
      </c>
      <c r="F358">
        <v>95</v>
      </c>
      <c r="G358" t="str">
        <f>"1031814201"</f>
        <v>1031814201</v>
      </c>
      <c r="H358" t="str">
        <f t="shared" si="92"/>
        <v>2025-12-02</v>
      </c>
      <c r="I358" t="str">
        <f t="shared" si="101"/>
        <v>2512018203</v>
      </c>
      <c r="J358" t="str">
        <f t="shared" si="96"/>
        <v>DELIVERED</v>
      </c>
    </row>
    <row r="359" spans="1:10" x14ac:dyDescent="0.25">
      <c r="A359" t="str">
        <f t="shared" si="97"/>
        <v>0000114142</v>
      </c>
      <c r="B359" t="str">
        <f t="shared" si="98"/>
        <v>0001102636</v>
      </c>
      <c r="C359" t="str">
        <f t="shared" si="100"/>
        <v xml:space="preserve">TR40/24 </v>
      </c>
      <c r="D359" t="str">
        <f t="shared" si="99"/>
        <v>46</v>
      </c>
      <c r="E359">
        <v>8.8140000000000001</v>
      </c>
      <c r="F359">
        <v>289</v>
      </c>
      <c r="G359" t="str">
        <f>"1031814202"</f>
        <v>1031814202</v>
      </c>
      <c r="H359" t="str">
        <f t="shared" si="92"/>
        <v>2025-12-02</v>
      </c>
      <c r="I359" t="str">
        <f t="shared" si="101"/>
        <v>2512018203</v>
      </c>
      <c r="J359" t="str">
        <f t="shared" si="96"/>
        <v>DELIVERED</v>
      </c>
    </row>
    <row r="360" spans="1:10" x14ac:dyDescent="0.25">
      <c r="A360" t="str">
        <f t="shared" si="97"/>
        <v>0000114142</v>
      </c>
      <c r="B360" t="str">
        <f t="shared" si="98"/>
        <v>0001102636</v>
      </c>
      <c r="C360" t="str">
        <f t="shared" si="100"/>
        <v xml:space="preserve">TR40/24 </v>
      </c>
      <c r="D360" t="str">
        <f t="shared" si="99"/>
        <v>46</v>
      </c>
      <c r="E360">
        <v>0.58299999999999996</v>
      </c>
      <c r="F360">
        <v>11</v>
      </c>
      <c r="G360" t="str">
        <f>"1031814208"</f>
        <v>1031814208</v>
      </c>
      <c r="H360" t="str">
        <f t="shared" ref="H360:H391" si="102">"2025-12-02"</f>
        <v>2025-12-02</v>
      </c>
      <c r="I360" t="str">
        <f t="shared" si="101"/>
        <v>2512018203</v>
      </c>
      <c r="J360" t="str">
        <f t="shared" si="96"/>
        <v>DELIVERED</v>
      </c>
    </row>
    <row r="361" spans="1:10" x14ac:dyDescent="0.25">
      <c r="A361" t="str">
        <f t="shared" si="97"/>
        <v>0000114142</v>
      </c>
      <c r="B361" t="str">
        <f t="shared" si="98"/>
        <v>0001102636</v>
      </c>
      <c r="C361" t="str">
        <f t="shared" si="100"/>
        <v xml:space="preserve">TR40/24 </v>
      </c>
      <c r="D361" t="str">
        <f t="shared" si="99"/>
        <v>46</v>
      </c>
      <c r="E361">
        <v>0.749</v>
      </c>
      <c r="F361">
        <v>11</v>
      </c>
      <c r="G361" t="str">
        <f>"1031814209"</f>
        <v>1031814209</v>
      </c>
      <c r="H361" t="str">
        <f t="shared" si="102"/>
        <v>2025-12-02</v>
      </c>
      <c r="I361" t="str">
        <f t="shared" si="101"/>
        <v>2512018203</v>
      </c>
      <c r="J361" t="str">
        <f t="shared" si="96"/>
        <v>DELIVERED</v>
      </c>
    </row>
    <row r="362" spans="1:10" x14ac:dyDescent="0.25">
      <c r="A362" t="str">
        <f t="shared" si="97"/>
        <v>0000114142</v>
      </c>
      <c r="B362" t="str">
        <f t="shared" si="98"/>
        <v>0001102636</v>
      </c>
      <c r="C362" t="str">
        <f t="shared" si="100"/>
        <v xml:space="preserve">TR40/24 </v>
      </c>
      <c r="D362" t="str">
        <f t="shared" si="99"/>
        <v>46</v>
      </c>
      <c r="E362">
        <v>0.622</v>
      </c>
      <c r="F362">
        <v>11</v>
      </c>
      <c r="G362" t="str">
        <f>"1031814210"</f>
        <v>1031814210</v>
      </c>
      <c r="H362" t="str">
        <f t="shared" si="102"/>
        <v>2025-12-02</v>
      </c>
      <c r="I362" t="str">
        <f t="shared" si="101"/>
        <v>2512018203</v>
      </c>
      <c r="J362" t="str">
        <f t="shared" si="96"/>
        <v>DELIVERED</v>
      </c>
    </row>
    <row r="363" spans="1:10" x14ac:dyDescent="0.25">
      <c r="A363" t="str">
        <f t="shared" si="97"/>
        <v>0000114142</v>
      </c>
      <c r="B363" t="str">
        <f t="shared" si="98"/>
        <v>0001102636</v>
      </c>
      <c r="C363" t="str">
        <f t="shared" si="100"/>
        <v xml:space="preserve">TR40/24 </v>
      </c>
      <c r="D363" t="str">
        <f t="shared" si="99"/>
        <v>46</v>
      </c>
      <c r="E363">
        <v>0.28299999999999997</v>
      </c>
      <c r="F363">
        <v>10</v>
      </c>
      <c r="G363" t="str">
        <f>"1031814211"</f>
        <v>1031814211</v>
      </c>
      <c r="H363" t="str">
        <f t="shared" si="102"/>
        <v>2025-12-02</v>
      </c>
      <c r="I363" t="str">
        <f t="shared" si="101"/>
        <v>2512018203</v>
      </c>
      <c r="J363" t="str">
        <f t="shared" si="96"/>
        <v>DELIVERED</v>
      </c>
    </row>
    <row r="364" spans="1:10" x14ac:dyDescent="0.25">
      <c r="A364" t="str">
        <f t="shared" si="97"/>
        <v>0000114142</v>
      </c>
      <c r="B364" t="str">
        <f t="shared" si="98"/>
        <v>0001102636</v>
      </c>
      <c r="C364" t="str">
        <f t="shared" si="100"/>
        <v xml:space="preserve">TR40/24 </v>
      </c>
      <c r="D364" t="str">
        <f t="shared" si="99"/>
        <v>46</v>
      </c>
      <c r="E364">
        <v>7.4999999999999997E-2</v>
      </c>
      <c r="F364">
        <v>6</v>
      </c>
      <c r="G364" t="str">
        <f>"1031814215"</f>
        <v>1031814215</v>
      </c>
      <c r="H364" t="str">
        <f t="shared" si="102"/>
        <v>2025-12-02</v>
      </c>
      <c r="I364" t="str">
        <f t="shared" si="101"/>
        <v>2512018203</v>
      </c>
      <c r="J364" t="str">
        <f t="shared" si="96"/>
        <v>DELIVERED</v>
      </c>
    </row>
    <row r="365" spans="1:10" x14ac:dyDescent="0.25">
      <c r="A365" t="str">
        <f t="shared" si="97"/>
        <v>0000114142</v>
      </c>
      <c r="B365" t="str">
        <f t="shared" si="98"/>
        <v>0001102636</v>
      </c>
      <c r="C365" t="str">
        <f t="shared" si="100"/>
        <v xml:space="preserve">TR40/24 </v>
      </c>
      <c r="D365" t="str">
        <f t="shared" si="99"/>
        <v>46</v>
      </c>
      <c r="E365">
        <v>1.851</v>
      </c>
      <c r="F365">
        <v>500</v>
      </c>
      <c r="G365" t="str">
        <f>"1031814896"</f>
        <v>1031814896</v>
      </c>
      <c r="H365" t="str">
        <f t="shared" si="102"/>
        <v>2025-12-02</v>
      </c>
      <c r="I365" t="str">
        <f>"2512018199"</f>
        <v>2512018199</v>
      </c>
      <c r="J365" t="str">
        <f t="shared" si="96"/>
        <v>DELIVERED</v>
      </c>
    </row>
    <row r="366" spans="1:10" x14ac:dyDescent="0.25">
      <c r="A366" t="str">
        <f>"0000114156"</f>
        <v>0000114156</v>
      </c>
      <c r="B366" t="str">
        <f>"0001101505"</f>
        <v>0001101505</v>
      </c>
      <c r="C366" t="str">
        <f t="shared" si="100"/>
        <v xml:space="preserve">TR40/24 </v>
      </c>
      <c r="D366" t="str">
        <f>"33"</f>
        <v>33</v>
      </c>
      <c r="E366">
        <v>7.0270000000000001</v>
      </c>
      <c r="F366">
        <v>1611</v>
      </c>
      <c r="G366" t="str">
        <f>"1031809235"</f>
        <v>1031809235</v>
      </c>
      <c r="H366" t="str">
        <f t="shared" si="102"/>
        <v>2025-12-02</v>
      </c>
      <c r="I366" t="str">
        <f>"2512028601"</f>
        <v>2512028601</v>
      </c>
      <c r="J366" t="str">
        <f t="shared" si="96"/>
        <v>DELIVERED</v>
      </c>
    </row>
    <row r="367" spans="1:10" x14ac:dyDescent="0.25">
      <c r="A367" t="str">
        <f>"0000114156"</f>
        <v>0000114156</v>
      </c>
      <c r="B367" t="str">
        <f>"0001101505"</f>
        <v>0001101505</v>
      </c>
      <c r="C367" t="str">
        <f t="shared" si="100"/>
        <v xml:space="preserve">TR40/24 </v>
      </c>
      <c r="D367" t="str">
        <f>"33"</f>
        <v>33</v>
      </c>
      <c r="E367">
        <v>3.4929999999999999</v>
      </c>
      <c r="F367">
        <v>1672</v>
      </c>
      <c r="G367" t="str">
        <f>"1031809280"</f>
        <v>1031809280</v>
      </c>
      <c r="H367" t="str">
        <f t="shared" si="102"/>
        <v>2025-12-02</v>
      </c>
      <c r="I367" t="str">
        <f>"2512028601"</f>
        <v>2512028601</v>
      </c>
      <c r="J367" t="str">
        <f t="shared" si="96"/>
        <v>DELIVERED</v>
      </c>
    </row>
    <row r="368" spans="1:10" x14ac:dyDescent="0.25">
      <c r="A368" t="str">
        <f>"0000114156"</f>
        <v>0000114156</v>
      </c>
      <c r="B368" t="str">
        <f>"0001101505"</f>
        <v>0001101505</v>
      </c>
      <c r="C368" t="str">
        <f t="shared" si="100"/>
        <v xml:space="preserve">TR40/24 </v>
      </c>
      <c r="D368" t="str">
        <f>"33"</f>
        <v>33</v>
      </c>
      <c r="E368">
        <v>3.226</v>
      </c>
      <c r="F368">
        <v>1496</v>
      </c>
      <c r="G368" t="str">
        <f>"1031811121"</f>
        <v>1031811121</v>
      </c>
      <c r="H368" t="str">
        <f t="shared" si="102"/>
        <v>2025-12-02</v>
      </c>
      <c r="I368" t="str">
        <f>"2512028601"</f>
        <v>2512028601</v>
      </c>
      <c r="J368" t="str">
        <f t="shared" si="96"/>
        <v>DELIVERED</v>
      </c>
    </row>
    <row r="369" spans="1:10" x14ac:dyDescent="0.25">
      <c r="A369" t="str">
        <f>"0000114156"</f>
        <v>0000114156</v>
      </c>
      <c r="B369" t="str">
        <f>"0001101505"</f>
        <v>0001101505</v>
      </c>
      <c r="C369" t="str">
        <f t="shared" si="100"/>
        <v xml:space="preserve">TR40/24 </v>
      </c>
      <c r="D369" t="str">
        <f>"33"</f>
        <v>33</v>
      </c>
      <c r="E369">
        <v>6.5789999999999997</v>
      </c>
      <c r="F369">
        <v>1636</v>
      </c>
      <c r="G369" t="str">
        <f>"1031811127"</f>
        <v>1031811127</v>
      </c>
      <c r="H369" t="str">
        <f t="shared" si="102"/>
        <v>2025-12-02</v>
      </c>
      <c r="I369" t="str">
        <f>"2512028601"</f>
        <v>2512028601</v>
      </c>
      <c r="J369" t="str">
        <f t="shared" si="96"/>
        <v>DELIVERED</v>
      </c>
    </row>
    <row r="370" spans="1:10" x14ac:dyDescent="0.25">
      <c r="A370" t="str">
        <f>"0000114192"</f>
        <v>0000114192</v>
      </c>
      <c r="B370" t="str">
        <f>"0001101504"</f>
        <v>0001101504</v>
      </c>
      <c r="C370" t="str">
        <f t="shared" si="100"/>
        <v xml:space="preserve">TR40/24 </v>
      </c>
      <c r="D370" t="str">
        <f>"58"</f>
        <v>58</v>
      </c>
      <c r="E370">
        <v>18.891999999999999</v>
      </c>
      <c r="F370">
        <v>2224</v>
      </c>
      <c r="G370" t="str">
        <f>"1031815335"</f>
        <v>1031815335</v>
      </c>
      <c r="H370" t="str">
        <f t="shared" si="102"/>
        <v>2025-12-02</v>
      </c>
      <c r="I370" t="str">
        <f>"2512028599"</f>
        <v>2512028599</v>
      </c>
      <c r="J370" t="str">
        <f t="shared" si="96"/>
        <v>DELIVERED</v>
      </c>
    </row>
    <row r="371" spans="1:10" x14ac:dyDescent="0.25">
      <c r="A371" t="str">
        <f>"0000114192"</f>
        <v>0000114192</v>
      </c>
      <c r="B371" t="str">
        <f>"0001101504"</f>
        <v>0001101504</v>
      </c>
      <c r="C371" t="str">
        <f t="shared" si="100"/>
        <v xml:space="preserve">TR40/24 </v>
      </c>
      <c r="D371" t="str">
        <f>"58"</f>
        <v>58</v>
      </c>
      <c r="E371">
        <v>0.26200000000000001</v>
      </c>
      <c r="F371">
        <v>252</v>
      </c>
      <c r="G371" t="str">
        <f>"1031815336"</f>
        <v>1031815336</v>
      </c>
      <c r="H371" t="str">
        <f t="shared" si="102"/>
        <v>2025-12-02</v>
      </c>
      <c r="I371" t="str">
        <f>"2512028599"</f>
        <v>2512028599</v>
      </c>
      <c r="J371" t="str">
        <f t="shared" si="96"/>
        <v>DELIVERED</v>
      </c>
    </row>
    <row r="372" spans="1:10" x14ac:dyDescent="0.25">
      <c r="A372" t="str">
        <f>"0000114192"</f>
        <v>0000114192</v>
      </c>
      <c r="B372" t="str">
        <f>"0001101504"</f>
        <v>0001101504</v>
      </c>
      <c r="C372" t="str">
        <f t="shared" si="100"/>
        <v xml:space="preserve">TR40/24 </v>
      </c>
      <c r="D372" t="str">
        <f>"58"</f>
        <v>58</v>
      </c>
      <c r="E372">
        <v>1.8859999999999999</v>
      </c>
      <c r="F372">
        <v>155</v>
      </c>
      <c r="G372" t="str">
        <f>"1031815337"</f>
        <v>1031815337</v>
      </c>
      <c r="H372" t="str">
        <f t="shared" si="102"/>
        <v>2025-12-02</v>
      </c>
      <c r="I372" t="str">
        <f>"2512028599"</f>
        <v>2512028599</v>
      </c>
      <c r="J372" t="str">
        <f t="shared" si="96"/>
        <v>DELIVERED</v>
      </c>
    </row>
    <row r="373" spans="1:10" x14ac:dyDescent="0.25">
      <c r="A373" t="str">
        <f t="shared" ref="A373:A378" si="103">"0000114196"</f>
        <v>0000114196</v>
      </c>
      <c r="B373" t="str">
        <f t="shared" ref="B373:B378" si="104">"0001101481"</f>
        <v>0001101481</v>
      </c>
      <c r="C373" t="str">
        <f t="shared" si="100"/>
        <v xml:space="preserve">TR40/24 </v>
      </c>
      <c r="D373" t="str">
        <f t="shared" ref="D373:D378" si="105">"01"</f>
        <v>01</v>
      </c>
      <c r="E373">
        <v>3.8719999999999999</v>
      </c>
      <c r="F373">
        <v>135</v>
      </c>
      <c r="G373" t="str">
        <f>"1031812706"</f>
        <v>1031812706</v>
      </c>
      <c r="H373" t="str">
        <f t="shared" si="102"/>
        <v>2025-12-02</v>
      </c>
      <c r="I373" t="str">
        <f t="shared" ref="I373:I378" si="106">"2512018151"</f>
        <v>2512018151</v>
      </c>
      <c r="J373" t="str">
        <f t="shared" si="96"/>
        <v>DELIVERED</v>
      </c>
    </row>
    <row r="374" spans="1:10" x14ac:dyDescent="0.25">
      <c r="A374" t="str">
        <f t="shared" si="103"/>
        <v>0000114196</v>
      </c>
      <c r="B374" t="str">
        <f t="shared" si="104"/>
        <v>0001101481</v>
      </c>
      <c r="C374" t="str">
        <f t="shared" si="100"/>
        <v xml:space="preserve">TR40/24 </v>
      </c>
      <c r="D374" t="str">
        <f t="shared" si="105"/>
        <v>01</v>
      </c>
      <c r="E374">
        <v>1.575</v>
      </c>
      <c r="F374">
        <v>126</v>
      </c>
      <c r="G374" t="str">
        <f>"1031812721"</f>
        <v>1031812721</v>
      </c>
      <c r="H374" t="str">
        <f t="shared" si="102"/>
        <v>2025-12-02</v>
      </c>
      <c r="I374" t="str">
        <f t="shared" si="106"/>
        <v>2512018151</v>
      </c>
      <c r="J374" t="str">
        <f t="shared" si="96"/>
        <v>DELIVERED</v>
      </c>
    </row>
    <row r="375" spans="1:10" x14ac:dyDescent="0.25">
      <c r="A375" t="str">
        <f t="shared" si="103"/>
        <v>0000114196</v>
      </c>
      <c r="B375" t="str">
        <f t="shared" si="104"/>
        <v>0001101481</v>
      </c>
      <c r="C375" t="str">
        <f t="shared" si="100"/>
        <v xml:space="preserve">TR40/24 </v>
      </c>
      <c r="D375" t="str">
        <f t="shared" si="105"/>
        <v>01</v>
      </c>
      <c r="E375">
        <v>7.2889999999999997</v>
      </c>
      <c r="F375">
        <v>169</v>
      </c>
      <c r="G375" t="str">
        <f>"1031812722"</f>
        <v>1031812722</v>
      </c>
      <c r="H375" t="str">
        <f t="shared" si="102"/>
        <v>2025-12-02</v>
      </c>
      <c r="I375" t="str">
        <f t="shared" si="106"/>
        <v>2512018151</v>
      </c>
      <c r="J375" t="str">
        <f t="shared" si="96"/>
        <v>DELIVERED</v>
      </c>
    </row>
    <row r="376" spans="1:10" x14ac:dyDescent="0.25">
      <c r="A376" t="str">
        <f t="shared" si="103"/>
        <v>0000114196</v>
      </c>
      <c r="B376" t="str">
        <f t="shared" si="104"/>
        <v>0001101481</v>
      </c>
      <c r="C376" t="str">
        <f t="shared" si="100"/>
        <v xml:space="preserve">TR40/24 </v>
      </c>
      <c r="D376" t="str">
        <f t="shared" si="105"/>
        <v>01</v>
      </c>
      <c r="E376">
        <v>7.766</v>
      </c>
      <c r="F376">
        <v>195</v>
      </c>
      <c r="G376" t="str">
        <f>"1031812737"</f>
        <v>1031812737</v>
      </c>
      <c r="H376" t="str">
        <f t="shared" si="102"/>
        <v>2025-12-02</v>
      </c>
      <c r="I376" t="str">
        <f t="shared" si="106"/>
        <v>2512018151</v>
      </c>
      <c r="J376" t="str">
        <f t="shared" si="96"/>
        <v>DELIVERED</v>
      </c>
    </row>
    <row r="377" spans="1:10" x14ac:dyDescent="0.25">
      <c r="A377" t="str">
        <f t="shared" si="103"/>
        <v>0000114196</v>
      </c>
      <c r="B377" t="str">
        <f t="shared" si="104"/>
        <v>0001101481</v>
      </c>
      <c r="C377" t="str">
        <f t="shared" si="100"/>
        <v xml:space="preserve">TR40/24 </v>
      </c>
      <c r="D377" t="str">
        <f t="shared" si="105"/>
        <v>01</v>
      </c>
      <c r="E377">
        <v>3.544</v>
      </c>
      <c r="F377">
        <v>137</v>
      </c>
      <c r="G377" t="str">
        <f>"1031812835"</f>
        <v>1031812835</v>
      </c>
      <c r="H377" t="str">
        <f t="shared" si="102"/>
        <v>2025-12-02</v>
      </c>
      <c r="I377" t="str">
        <f t="shared" si="106"/>
        <v>2512018151</v>
      </c>
      <c r="J377" t="str">
        <f t="shared" si="96"/>
        <v>DELIVERED</v>
      </c>
    </row>
    <row r="378" spans="1:10" x14ac:dyDescent="0.25">
      <c r="A378" t="str">
        <f t="shared" si="103"/>
        <v>0000114196</v>
      </c>
      <c r="B378" t="str">
        <f t="shared" si="104"/>
        <v>0001101481</v>
      </c>
      <c r="C378" t="str">
        <f t="shared" si="100"/>
        <v xml:space="preserve">TR40/24 </v>
      </c>
      <c r="D378" t="str">
        <f t="shared" si="105"/>
        <v>01</v>
      </c>
      <c r="E378">
        <v>305.99700000000001</v>
      </c>
      <c r="F378">
        <v>608</v>
      </c>
      <c r="G378" t="str">
        <f>"1031814216"</f>
        <v>1031814216</v>
      </c>
      <c r="H378" t="str">
        <f t="shared" si="102"/>
        <v>2025-12-02</v>
      </c>
      <c r="I378" t="str">
        <f t="shared" si="106"/>
        <v>2512018151</v>
      </c>
      <c r="J378" t="str">
        <f t="shared" si="96"/>
        <v>DELIVERED</v>
      </c>
    </row>
    <row r="379" spans="1:10" x14ac:dyDescent="0.25">
      <c r="A379" t="str">
        <f>"0000114225"</f>
        <v>0000114225</v>
      </c>
      <c r="B379" t="str">
        <f>"0001101382"</f>
        <v>0001101382</v>
      </c>
      <c r="C379" t="str">
        <f t="shared" si="100"/>
        <v xml:space="preserve">TR40/24 </v>
      </c>
      <c r="D379" t="str">
        <f>"99"</f>
        <v>99</v>
      </c>
      <c r="E379">
        <v>1.069</v>
      </c>
      <c r="F379">
        <v>560</v>
      </c>
      <c r="G379" t="str">
        <f>"1031812810"</f>
        <v>1031812810</v>
      </c>
      <c r="H379" t="str">
        <f t="shared" si="102"/>
        <v>2025-12-02</v>
      </c>
      <c r="I379" t="str">
        <f>"2512017760"</f>
        <v>2512017760</v>
      </c>
      <c r="J379" t="str">
        <f t="shared" si="96"/>
        <v>DELIVERED</v>
      </c>
    </row>
    <row r="380" spans="1:10" x14ac:dyDescent="0.25">
      <c r="A380" t="str">
        <f>"0000114225"</f>
        <v>0000114225</v>
      </c>
      <c r="B380" t="str">
        <f>"0001101382"</f>
        <v>0001101382</v>
      </c>
      <c r="C380" t="str">
        <f t="shared" si="100"/>
        <v xml:space="preserve">TR40/24 </v>
      </c>
      <c r="D380" t="str">
        <f>"99"</f>
        <v>99</v>
      </c>
      <c r="E380">
        <v>11.664</v>
      </c>
      <c r="F380">
        <v>3275</v>
      </c>
      <c r="G380" t="str">
        <f>"1031812987"</f>
        <v>1031812987</v>
      </c>
      <c r="H380" t="str">
        <f t="shared" si="102"/>
        <v>2025-12-02</v>
      </c>
      <c r="I380" t="str">
        <f>"2512017760"</f>
        <v>2512017760</v>
      </c>
      <c r="J380" t="str">
        <f t="shared" si="96"/>
        <v>DELIVERED</v>
      </c>
    </row>
    <row r="381" spans="1:10" x14ac:dyDescent="0.25">
      <c r="A381" t="str">
        <f>"0000114249"</f>
        <v>0000114249</v>
      </c>
      <c r="B381" t="str">
        <f>"0001101663"</f>
        <v>0001101663</v>
      </c>
      <c r="C381" t="str">
        <f t="shared" si="100"/>
        <v xml:space="preserve">TR40/24 </v>
      </c>
      <c r="D381" t="str">
        <f>"76"</f>
        <v>76</v>
      </c>
      <c r="E381">
        <v>1.3660000000000001</v>
      </c>
      <c r="F381">
        <v>584</v>
      </c>
      <c r="G381" t="str">
        <f>"1031813825"</f>
        <v>1031813825</v>
      </c>
      <c r="H381" t="str">
        <f t="shared" si="102"/>
        <v>2025-12-02</v>
      </c>
      <c r="I381" t="str">
        <f>"2512028575"</f>
        <v>2512028575</v>
      </c>
      <c r="J381" t="str">
        <f t="shared" si="96"/>
        <v>DELIVERED</v>
      </c>
    </row>
    <row r="382" spans="1:10" x14ac:dyDescent="0.25">
      <c r="A382" t="str">
        <f>"0000114249"</f>
        <v>0000114249</v>
      </c>
      <c r="B382" t="str">
        <f>"0001101663"</f>
        <v>0001101663</v>
      </c>
      <c r="C382" t="str">
        <f t="shared" si="100"/>
        <v xml:space="preserve">TR40/24 </v>
      </c>
      <c r="D382" t="str">
        <f>"76"</f>
        <v>76</v>
      </c>
      <c r="E382">
        <v>4.7539999999999996</v>
      </c>
      <c r="F382">
        <v>1154</v>
      </c>
      <c r="G382" t="str">
        <f>"1031813826"</f>
        <v>1031813826</v>
      </c>
      <c r="H382" t="str">
        <f t="shared" si="102"/>
        <v>2025-12-02</v>
      </c>
      <c r="I382" t="str">
        <f>"2512028575"</f>
        <v>2512028575</v>
      </c>
      <c r="J382" t="str">
        <f t="shared" si="96"/>
        <v>DELIVERED</v>
      </c>
    </row>
    <row r="383" spans="1:10" x14ac:dyDescent="0.25">
      <c r="A383" t="str">
        <f>"0000114249"</f>
        <v>0000114249</v>
      </c>
      <c r="B383" t="str">
        <f>"0001101663"</f>
        <v>0001101663</v>
      </c>
      <c r="C383" t="str">
        <f t="shared" si="100"/>
        <v xml:space="preserve">TR40/24 </v>
      </c>
      <c r="D383" t="str">
        <f>"76"</f>
        <v>76</v>
      </c>
      <c r="E383">
        <v>4.9379999999999997</v>
      </c>
      <c r="F383">
        <v>1503</v>
      </c>
      <c r="G383" t="str">
        <f>"1031813827"</f>
        <v>1031813827</v>
      </c>
      <c r="H383" t="str">
        <f t="shared" si="102"/>
        <v>2025-12-02</v>
      </c>
      <c r="I383" t="str">
        <f>"2512028575"</f>
        <v>2512028575</v>
      </c>
      <c r="J383" t="str">
        <f t="shared" si="96"/>
        <v>DELIVERED</v>
      </c>
    </row>
    <row r="384" spans="1:10" x14ac:dyDescent="0.25">
      <c r="A384" t="str">
        <f>"0000114249"</f>
        <v>0000114249</v>
      </c>
      <c r="B384" t="str">
        <f>"0001101663"</f>
        <v>0001101663</v>
      </c>
      <c r="C384" t="str">
        <f t="shared" si="100"/>
        <v xml:space="preserve">TR40/24 </v>
      </c>
      <c r="D384" t="str">
        <f>"76"</f>
        <v>76</v>
      </c>
      <c r="E384">
        <v>2.3239999999999998</v>
      </c>
      <c r="F384">
        <v>896</v>
      </c>
      <c r="G384" t="str">
        <f>"1031814289"</f>
        <v>1031814289</v>
      </c>
      <c r="H384" t="str">
        <f t="shared" si="102"/>
        <v>2025-12-02</v>
      </c>
      <c r="I384" t="str">
        <f>"2512028575"</f>
        <v>2512028575</v>
      </c>
      <c r="J384" t="str">
        <f t="shared" ref="J384:J415" si="107">"DELIVERED"</f>
        <v>DELIVERED</v>
      </c>
    </row>
    <row r="385" spans="1:10" x14ac:dyDescent="0.25">
      <c r="A385" t="str">
        <f>"0000114252"</f>
        <v>0000114252</v>
      </c>
      <c r="B385" t="str">
        <f>"0001101656"</f>
        <v>0001101656</v>
      </c>
      <c r="C385" t="str">
        <f t="shared" si="100"/>
        <v xml:space="preserve">TR40/24 </v>
      </c>
      <c r="D385" t="str">
        <f>"99"</f>
        <v>99</v>
      </c>
      <c r="E385">
        <v>3.161</v>
      </c>
      <c r="F385">
        <v>3340</v>
      </c>
      <c r="G385" t="str">
        <f>"1031814475"</f>
        <v>1031814475</v>
      </c>
      <c r="H385" t="str">
        <f t="shared" si="102"/>
        <v>2025-12-02</v>
      </c>
      <c r="I385" t="str">
        <f>"2512028773"</f>
        <v>2512028773</v>
      </c>
      <c r="J385" t="str">
        <f t="shared" si="107"/>
        <v>DELIVERED</v>
      </c>
    </row>
    <row r="386" spans="1:10" x14ac:dyDescent="0.25">
      <c r="A386" t="str">
        <f>"0000114268"</f>
        <v>0000114268</v>
      </c>
      <c r="B386" t="str">
        <f>"0001101263"</f>
        <v>0001101263</v>
      </c>
      <c r="C386" t="str">
        <f t="shared" si="100"/>
        <v xml:space="preserve">TR40/24 </v>
      </c>
      <c r="D386" t="str">
        <f>"99"</f>
        <v>99</v>
      </c>
      <c r="E386">
        <v>20.323</v>
      </c>
      <c r="F386">
        <v>1872</v>
      </c>
      <c r="G386" t="str">
        <f>"1031811179"</f>
        <v>1031811179</v>
      </c>
      <c r="H386" t="str">
        <f t="shared" si="102"/>
        <v>2025-12-02</v>
      </c>
      <c r="I386" t="str">
        <f>"2512028645"</f>
        <v>2512028645</v>
      </c>
      <c r="J386" t="str">
        <f t="shared" si="107"/>
        <v>DELIVERED</v>
      </c>
    </row>
    <row r="387" spans="1:10" x14ac:dyDescent="0.25">
      <c r="A387" t="str">
        <f>"0000114298"</f>
        <v>0000114298</v>
      </c>
      <c r="B387" t="str">
        <f>"0001101477"</f>
        <v>0001101477</v>
      </c>
      <c r="C387" t="str">
        <f t="shared" ref="C387:C418" si="108">"TR40/24 "</f>
        <v xml:space="preserve">TR40/24 </v>
      </c>
      <c r="D387" t="str">
        <f>"39"</f>
        <v>39</v>
      </c>
      <c r="E387">
        <v>13.471</v>
      </c>
      <c r="F387">
        <v>1221</v>
      </c>
      <c r="G387" t="str">
        <f>"1031805834"</f>
        <v>1031805834</v>
      </c>
      <c r="H387" t="str">
        <f t="shared" si="102"/>
        <v>2025-12-02</v>
      </c>
      <c r="I387" t="str">
        <f>"2512028598"</f>
        <v>2512028598</v>
      </c>
      <c r="J387" t="str">
        <f t="shared" si="107"/>
        <v>DELIVERED</v>
      </c>
    </row>
    <row r="388" spans="1:10" x14ac:dyDescent="0.25">
      <c r="A388" t="str">
        <f>"0000114341"</f>
        <v>0000114341</v>
      </c>
      <c r="B388" t="str">
        <f>"0001103202"</f>
        <v>0001103202</v>
      </c>
      <c r="C388" t="str">
        <f t="shared" si="108"/>
        <v xml:space="preserve">TR40/24 </v>
      </c>
      <c r="D388" t="str">
        <f>"54"</f>
        <v>54</v>
      </c>
      <c r="E388">
        <v>1.3169999999999999</v>
      </c>
      <c r="F388">
        <v>764</v>
      </c>
      <c r="G388" t="str">
        <f>"1031808992"</f>
        <v>1031808992</v>
      </c>
      <c r="H388" t="str">
        <f t="shared" si="102"/>
        <v>2025-12-02</v>
      </c>
      <c r="I388" t="str">
        <f>"2512028594"</f>
        <v>2512028594</v>
      </c>
      <c r="J388" t="str">
        <f t="shared" si="107"/>
        <v>DELIVERED</v>
      </c>
    </row>
    <row r="389" spans="1:10" x14ac:dyDescent="0.25">
      <c r="A389" t="str">
        <f>"0000114341"</f>
        <v>0000114341</v>
      </c>
      <c r="B389" t="str">
        <f>"0001103202"</f>
        <v>0001103202</v>
      </c>
      <c r="C389" t="str">
        <f t="shared" si="108"/>
        <v xml:space="preserve">TR40/24 </v>
      </c>
      <c r="D389" t="str">
        <f>"54"</f>
        <v>54</v>
      </c>
      <c r="E389">
        <v>2.9529999999999998</v>
      </c>
      <c r="F389">
        <v>1277</v>
      </c>
      <c r="G389" t="str">
        <f>"1031809098"</f>
        <v>1031809098</v>
      </c>
      <c r="H389" t="str">
        <f t="shared" si="102"/>
        <v>2025-12-02</v>
      </c>
      <c r="I389" t="str">
        <f>"2512028594"</f>
        <v>2512028594</v>
      </c>
      <c r="J389" t="str">
        <f t="shared" si="107"/>
        <v>DELIVERED</v>
      </c>
    </row>
    <row r="390" spans="1:10" x14ac:dyDescent="0.25">
      <c r="A390" t="str">
        <f>"0000114392"</f>
        <v>0000114392</v>
      </c>
      <c r="B390" t="str">
        <f>"0001102592"</f>
        <v>0001102592</v>
      </c>
      <c r="C390" t="str">
        <f t="shared" si="108"/>
        <v xml:space="preserve">TR40/24 </v>
      </c>
      <c r="D390" t="str">
        <f>"01"</f>
        <v>01</v>
      </c>
      <c r="E390">
        <v>14.13</v>
      </c>
      <c r="F390">
        <v>1853</v>
      </c>
      <c r="G390" t="str">
        <f>"1031816686"</f>
        <v>1031816686</v>
      </c>
      <c r="H390" t="str">
        <f t="shared" si="102"/>
        <v>2025-12-02</v>
      </c>
      <c r="I390" t="str">
        <f>"2512028739"</f>
        <v>2512028739</v>
      </c>
      <c r="J390" t="str">
        <f t="shared" si="107"/>
        <v>DELIVERED</v>
      </c>
    </row>
    <row r="391" spans="1:10" x14ac:dyDescent="0.25">
      <c r="A391" t="str">
        <f>"0000114392"</f>
        <v>0000114392</v>
      </c>
      <c r="B391" t="str">
        <f>"0001102592"</f>
        <v>0001102592</v>
      </c>
      <c r="C391" t="str">
        <f t="shared" si="108"/>
        <v xml:space="preserve">TR40/24 </v>
      </c>
      <c r="D391" t="str">
        <f>"01"</f>
        <v>01</v>
      </c>
      <c r="E391">
        <v>628.60900000000004</v>
      </c>
      <c r="F391">
        <v>942</v>
      </c>
      <c r="G391" t="str">
        <f>"1031816687"</f>
        <v>1031816687</v>
      </c>
      <c r="H391" t="str">
        <f t="shared" si="102"/>
        <v>2025-12-02</v>
      </c>
      <c r="I391" t="str">
        <f>"2512028739"</f>
        <v>2512028739</v>
      </c>
      <c r="J391" t="str">
        <f t="shared" si="107"/>
        <v>DELIVERED</v>
      </c>
    </row>
    <row r="392" spans="1:10" x14ac:dyDescent="0.25">
      <c r="A392" t="str">
        <f>"0000114448"</f>
        <v>0000114448</v>
      </c>
      <c r="B392" t="str">
        <f>"0001102113"</f>
        <v>0001102113</v>
      </c>
      <c r="C392" t="str">
        <f t="shared" si="108"/>
        <v xml:space="preserve">TR40/24 </v>
      </c>
      <c r="D392" t="str">
        <f>"54"</f>
        <v>54</v>
      </c>
      <c r="E392">
        <v>3.6709999999999998</v>
      </c>
      <c r="F392">
        <v>580</v>
      </c>
      <c r="G392" t="str">
        <f>"1031809736"</f>
        <v>1031809736</v>
      </c>
      <c r="H392" t="str">
        <f t="shared" ref="H392:H423" si="109">"2025-12-02"</f>
        <v>2025-12-02</v>
      </c>
      <c r="I392" t="str">
        <f>"2512028593"</f>
        <v>2512028593</v>
      </c>
      <c r="J392" t="str">
        <f t="shared" si="107"/>
        <v>DELIVERED</v>
      </c>
    </row>
    <row r="393" spans="1:10" x14ac:dyDescent="0.25">
      <c r="A393" t="str">
        <f>"0000114448"</f>
        <v>0000114448</v>
      </c>
      <c r="B393" t="str">
        <f>"0001102113"</f>
        <v>0001102113</v>
      </c>
      <c r="C393" t="str">
        <f t="shared" si="108"/>
        <v xml:space="preserve">TR40/24 </v>
      </c>
      <c r="D393" t="str">
        <f>"54"</f>
        <v>54</v>
      </c>
      <c r="E393">
        <v>4.6399999999999997</v>
      </c>
      <c r="F393">
        <v>1240</v>
      </c>
      <c r="G393" t="str">
        <f>"1031811266"</f>
        <v>1031811266</v>
      </c>
      <c r="H393" t="str">
        <f t="shared" si="109"/>
        <v>2025-12-02</v>
      </c>
      <c r="I393" t="str">
        <f>"2512028593"</f>
        <v>2512028593</v>
      </c>
      <c r="J393" t="str">
        <f t="shared" si="107"/>
        <v>DELIVERED</v>
      </c>
    </row>
    <row r="394" spans="1:10" x14ac:dyDescent="0.25">
      <c r="A394" t="str">
        <f>"0000114465"</f>
        <v>0000114465</v>
      </c>
      <c r="B394" t="str">
        <f>"0001101293"</f>
        <v>0001101293</v>
      </c>
      <c r="C394" t="str">
        <f t="shared" si="108"/>
        <v xml:space="preserve">TR40/24 </v>
      </c>
      <c r="D394" t="str">
        <f>"49"</f>
        <v>49</v>
      </c>
      <c r="E394">
        <v>13.013999999999999</v>
      </c>
      <c r="F394">
        <v>1106</v>
      </c>
      <c r="G394" t="str">
        <f>"1031812734"</f>
        <v>1031812734</v>
      </c>
      <c r="H394" t="str">
        <f t="shared" si="109"/>
        <v>2025-12-02</v>
      </c>
      <c r="I394" t="str">
        <f>"2512028597"</f>
        <v>2512028597</v>
      </c>
      <c r="J394" t="str">
        <f t="shared" si="107"/>
        <v>DELIVERED</v>
      </c>
    </row>
    <row r="395" spans="1:10" x14ac:dyDescent="0.25">
      <c r="A395" t="str">
        <f>"0000114465"</f>
        <v>0000114465</v>
      </c>
      <c r="B395" t="str">
        <f>"0001101293"</f>
        <v>0001101293</v>
      </c>
      <c r="C395" t="str">
        <f t="shared" si="108"/>
        <v xml:space="preserve">TR40/24 </v>
      </c>
      <c r="D395" t="str">
        <f>"49"</f>
        <v>49</v>
      </c>
      <c r="E395">
        <v>2.4380000000000002</v>
      </c>
      <c r="F395">
        <v>1011</v>
      </c>
      <c r="G395" t="str">
        <f>"1031812735"</f>
        <v>1031812735</v>
      </c>
      <c r="H395" t="str">
        <f t="shared" si="109"/>
        <v>2025-12-02</v>
      </c>
      <c r="I395" t="str">
        <f>"2512028597"</f>
        <v>2512028597</v>
      </c>
      <c r="J395" t="str">
        <f t="shared" si="107"/>
        <v>DELIVERED</v>
      </c>
    </row>
    <row r="396" spans="1:10" x14ac:dyDescent="0.25">
      <c r="A396" t="str">
        <f>"0000114474"</f>
        <v>0000114474</v>
      </c>
      <c r="B396" t="str">
        <f>"0001101663"</f>
        <v>0001101663</v>
      </c>
      <c r="C396" t="str">
        <f t="shared" si="108"/>
        <v xml:space="preserve">TR40/24 </v>
      </c>
      <c r="D396" t="str">
        <f>"73"</f>
        <v>73</v>
      </c>
      <c r="E396">
        <v>2.0089999999999999</v>
      </c>
      <c r="F396">
        <v>231</v>
      </c>
      <c r="G396" t="str">
        <f>"1031815137"</f>
        <v>1031815137</v>
      </c>
      <c r="H396" t="str">
        <f t="shared" si="109"/>
        <v>2025-12-02</v>
      </c>
      <c r="I396" t="str">
        <f>"2512028591"</f>
        <v>2512028591</v>
      </c>
      <c r="J396" t="str">
        <f t="shared" si="107"/>
        <v>DELIVERED</v>
      </c>
    </row>
    <row r="397" spans="1:10" x14ac:dyDescent="0.25">
      <c r="A397" t="str">
        <f>"0000114474"</f>
        <v>0000114474</v>
      </c>
      <c r="B397" t="str">
        <f>"0001101663"</f>
        <v>0001101663</v>
      </c>
      <c r="C397" t="str">
        <f t="shared" si="108"/>
        <v xml:space="preserve">TR40/24 </v>
      </c>
      <c r="D397" t="str">
        <f>"73"</f>
        <v>73</v>
      </c>
      <c r="E397">
        <v>2.9990000000000001</v>
      </c>
      <c r="F397">
        <v>861</v>
      </c>
      <c r="G397" t="str">
        <f>"1031815140"</f>
        <v>1031815140</v>
      </c>
      <c r="H397" t="str">
        <f t="shared" si="109"/>
        <v>2025-12-02</v>
      </c>
      <c r="I397" t="str">
        <f>"2512028591"</f>
        <v>2512028591</v>
      </c>
      <c r="J397" t="str">
        <f t="shared" si="107"/>
        <v>DELIVERED</v>
      </c>
    </row>
    <row r="398" spans="1:10" x14ac:dyDescent="0.25">
      <c r="A398" t="str">
        <f>"0000114474"</f>
        <v>0000114474</v>
      </c>
      <c r="B398" t="str">
        <f>"0001101663"</f>
        <v>0001101663</v>
      </c>
      <c r="C398" t="str">
        <f t="shared" si="108"/>
        <v xml:space="preserve">TR40/24 </v>
      </c>
      <c r="D398" t="str">
        <f>"73"</f>
        <v>73</v>
      </c>
      <c r="E398">
        <v>0.13500000000000001</v>
      </c>
      <c r="F398">
        <v>100</v>
      </c>
      <c r="G398" t="str">
        <f>"1031815149"</f>
        <v>1031815149</v>
      </c>
      <c r="H398" t="str">
        <f t="shared" si="109"/>
        <v>2025-12-02</v>
      </c>
      <c r="I398" t="str">
        <f>"2512028591"</f>
        <v>2512028591</v>
      </c>
      <c r="J398" t="str">
        <f t="shared" si="107"/>
        <v>DELIVERED</v>
      </c>
    </row>
    <row r="399" spans="1:10" x14ac:dyDescent="0.25">
      <c r="A399" t="str">
        <f>"0000114474"</f>
        <v>0000114474</v>
      </c>
      <c r="B399" t="str">
        <f>"0001101663"</f>
        <v>0001101663</v>
      </c>
      <c r="C399" t="str">
        <f t="shared" si="108"/>
        <v xml:space="preserve">TR40/24 </v>
      </c>
      <c r="D399" t="str">
        <f>"73"</f>
        <v>73</v>
      </c>
      <c r="E399">
        <v>0.55700000000000005</v>
      </c>
      <c r="F399">
        <v>368</v>
      </c>
      <c r="G399" t="str">
        <f>"1031815150"</f>
        <v>1031815150</v>
      </c>
      <c r="H399" t="str">
        <f t="shared" si="109"/>
        <v>2025-12-02</v>
      </c>
      <c r="I399" t="str">
        <f>"2512028591"</f>
        <v>2512028591</v>
      </c>
      <c r="J399" t="str">
        <f t="shared" si="107"/>
        <v>DELIVERED</v>
      </c>
    </row>
    <row r="400" spans="1:10" x14ac:dyDescent="0.25">
      <c r="A400" t="str">
        <f>"0000114491"</f>
        <v>0000114491</v>
      </c>
      <c r="B400" t="str">
        <f>"0001101706"</f>
        <v>0001101706</v>
      </c>
      <c r="C400" t="str">
        <f t="shared" si="108"/>
        <v xml:space="preserve">TR40/24 </v>
      </c>
      <c r="D400" t="str">
        <f>"49"</f>
        <v>49</v>
      </c>
      <c r="E400">
        <v>4.367</v>
      </c>
      <c r="F400">
        <v>806</v>
      </c>
      <c r="G400" t="str">
        <f>"1031815507"</f>
        <v>1031815507</v>
      </c>
      <c r="H400" t="str">
        <f t="shared" si="109"/>
        <v>2025-12-02</v>
      </c>
      <c r="I400" t="str">
        <f>"2512028652"</f>
        <v>2512028652</v>
      </c>
      <c r="J400" t="str">
        <f t="shared" si="107"/>
        <v>DELIVERED</v>
      </c>
    </row>
    <row r="401" spans="1:10" x14ac:dyDescent="0.25">
      <c r="A401" t="str">
        <f>"0000114500"</f>
        <v>0000114500</v>
      </c>
      <c r="B401" t="str">
        <f>"0001101203"</f>
        <v>0001101203</v>
      </c>
      <c r="C401" t="str">
        <f t="shared" si="108"/>
        <v xml:space="preserve">TR40/24 </v>
      </c>
      <c r="D401" t="str">
        <f>"80"</f>
        <v>80</v>
      </c>
      <c r="E401">
        <v>6.45</v>
      </c>
      <c r="F401">
        <v>3581</v>
      </c>
      <c r="G401" t="str">
        <f>"1031813413"</f>
        <v>1031813413</v>
      </c>
      <c r="H401" t="str">
        <f t="shared" si="109"/>
        <v>2025-12-02</v>
      </c>
      <c r="I401" t="str">
        <f>"2512028605"</f>
        <v>2512028605</v>
      </c>
      <c r="J401" t="str">
        <f t="shared" si="107"/>
        <v>DELIVERED</v>
      </c>
    </row>
    <row r="402" spans="1:10" x14ac:dyDescent="0.25">
      <c r="A402" t="str">
        <f>"0000114500"</f>
        <v>0000114500</v>
      </c>
      <c r="B402" t="str">
        <f>"0001101203"</f>
        <v>0001101203</v>
      </c>
      <c r="C402" t="str">
        <f t="shared" si="108"/>
        <v xml:space="preserve">TR40/24 </v>
      </c>
      <c r="D402" t="str">
        <f>"80"</f>
        <v>80</v>
      </c>
      <c r="E402">
        <v>6.6340000000000003</v>
      </c>
      <c r="F402">
        <v>2806</v>
      </c>
      <c r="G402" t="str">
        <f>"1031813426"</f>
        <v>1031813426</v>
      </c>
      <c r="H402" t="str">
        <f t="shared" si="109"/>
        <v>2025-12-02</v>
      </c>
      <c r="I402" t="str">
        <f>"2512028605"</f>
        <v>2512028605</v>
      </c>
      <c r="J402" t="str">
        <f t="shared" si="107"/>
        <v>DELIVERED</v>
      </c>
    </row>
    <row r="403" spans="1:10" x14ac:dyDescent="0.25">
      <c r="A403" t="str">
        <f>"0000114512"</f>
        <v>0000114512</v>
      </c>
      <c r="B403" t="str">
        <f>"0001102757"</f>
        <v>0001102757</v>
      </c>
      <c r="C403" t="str">
        <f t="shared" si="108"/>
        <v xml:space="preserve">TR40/24 </v>
      </c>
      <c r="D403" t="str">
        <f>"12"</f>
        <v>12</v>
      </c>
      <c r="E403">
        <v>10.849</v>
      </c>
      <c r="F403">
        <v>1240</v>
      </c>
      <c r="G403" t="str">
        <f>"1031810365"</f>
        <v>1031810365</v>
      </c>
      <c r="H403" t="str">
        <f t="shared" si="109"/>
        <v>2025-12-02</v>
      </c>
      <c r="I403" t="str">
        <f>"2512017763"</f>
        <v>2512017763</v>
      </c>
      <c r="J403" t="str">
        <f t="shared" si="107"/>
        <v>DELIVERED</v>
      </c>
    </row>
    <row r="404" spans="1:10" x14ac:dyDescent="0.25">
      <c r="A404" t="str">
        <f>"0000114538"</f>
        <v>0000114538</v>
      </c>
      <c r="B404" t="str">
        <f>"0001104850"</f>
        <v>0001104850</v>
      </c>
      <c r="C404" t="str">
        <f t="shared" si="108"/>
        <v xml:space="preserve">TR40/24 </v>
      </c>
      <c r="D404" t="str">
        <f>"13"</f>
        <v>13</v>
      </c>
      <c r="E404">
        <v>14.676</v>
      </c>
      <c r="F404">
        <v>468</v>
      </c>
      <c r="G404" t="str">
        <f>"1031814831"</f>
        <v>1031814831</v>
      </c>
      <c r="H404" t="str">
        <f t="shared" si="109"/>
        <v>2025-12-02</v>
      </c>
      <c r="I404" t="str">
        <f>"2512028602"</f>
        <v>2512028602</v>
      </c>
      <c r="J404" t="str">
        <f t="shared" si="107"/>
        <v>DELIVERED</v>
      </c>
    </row>
    <row r="405" spans="1:10" x14ac:dyDescent="0.25">
      <c r="A405" t="str">
        <f>"0000114538"</f>
        <v>0000114538</v>
      </c>
      <c r="B405" t="str">
        <f>"0001104850"</f>
        <v>0001104850</v>
      </c>
      <c r="C405" t="str">
        <f t="shared" si="108"/>
        <v xml:space="preserve">TR40/24 </v>
      </c>
      <c r="D405" t="str">
        <f>"13"</f>
        <v>13</v>
      </c>
      <c r="E405">
        <v>19.663</v>
      </c>
      <c r="F405">
        <v>846</v>
      </c>
      <c r="G405" t="str">
        <f>"1031814836"</f>
        <v>1031814836</v>
      </c>
      <c r="H405" t="str">
        <f t="shared" si="109"/>
        <v>2025-12-02</v>
      </c>
      <c r="I405" t="str">
        <f>"2512028566"</f>
        <v>2512028566</v>
      </c>
      <c r="J405" t="str">
        <f t="shared" si="107"/>
        <v>DELIVERED</v>
      </c>
    </row>
    <row r="406" spans="1:10" x14ac:dyDescent="0.25">
      <c r="A406" t="str">
        <f>"0000114541"</f>
        <v>0000114541</v>
      </c>
      <c r="B406" t="str">
        <f>"0001101263"</f>
        <v>0001101263</v>
      </c>
      <c r="C406" t="str">
        <f t="shared" si="108"/>
        <v xml:space="preserve">TR40/24 </v>
      </c>
      <c r="D406" t="str">
        <f>"11"</f>
        <v>11</v>
      </c>
      <c r="E406">
        <v>5.3410000000000002</v>
      </c>
      <c r="F406">
        <v>454</v>
      </c>
      <c r="G406" t="str">
        <f>"1031813303"</f>
        <v>1031813303</v>
      </c>
      <c r="H406" t="str">
        <f t="shared" si="109"/>
        <v>2025-12-02</v>
      </c>
      <c r="I406" t="str">
        <f>"2512018157"</f>
        <v>2512018157</v>
      </c>
      <c r="J406" t="str">
        <f t="shared" si="107"/>
        <v>DELIVERED</v>
      </c>
    </row>
    <row r="407" spans="1:10" x14ac:dyDescent="0.25">
      <c r="A407" t="str">
        <f>"0000114541"</f>
        <v>0000114541</v>
      </c>
      <c r="B407" t="str">
        <f>"0001101263"</f>
        <v>0001101263</v>
      </c>
      <c r="C407" t="str">
        <f t="shared" si="108"/>
        <v xml:space="preserve">TR40/24 </v>
      </c>
      <c r="D407" t="str">
        <f>"11"</f>
        <v>11</v>
      </c>
      <c r="E407">
        <v>4.8609999999999998</v>
      </c>
      <c r="F407">
        <v>1368</v>
      </c>
      <c r="G407" t="str">
        <f>"1031813341"</f>
        <v>1031813341</v>
      </c>
      <c r="H407" t="str">
        <f t="shared" si="109"/>
        <v>2025-12-02</v>
      </c>
      <c r="I407" t="str">
        <f>"2512018157"</f>
        <v>2512018157</v>
      </c>
      <c r="J407" t="str">
        <f t="shared" si="107"/>
        <v>DELIVERED</v>
      </c>
    </row>
    <row r="408" spans="1:10" x14ac:dyDescent="0.25">
      <c r="A408" t="str">
        <f>"0000114681"</f>
        <v>0000114681</v>
      </c>
      <c r="B408" t="str">
        <f>"0001104832"</f>
        <v>0001104832</v>
      </c>
      <c r="C408" t="str">
        <f t="shared" si="108"/>
        <v xml:space="preserve">TR40/24 </v>
      </c>
      <c r="D408" t="str">
        <f>"50"</f>
        <v>50</v>
      </c>
      <c r="E408">
        <v>5.992</v>
      </c>
      <c r="F408">
        <v>1252</v>
      </c>
      <c r="G408" t="str">
        <f>"1031814456"</f>
        <v>1031814456</v>
      </c>
      <c r="H408" t="str">
        <f t="shared" si="109"/>
        <v>2025-12-02</v>
      </c>
      <c r="I408" t="str">
        <f>"2512028600"</f>
        <v>2512028600</v>
      </c>
      <c r="J408" t="str">
        <f t="shared" si="107"/>
        <v>DELIVERED</v>
      </c>
    </row>
    <row r="409" spans="1:10" x14ac:dyDescent="0.25">
      <c r="A409" t="str">
        <f>"0000114681"</f>
        <v>0000114681</v>
      </c>
      <c r="B409" t="str">
        <f>"0001104832"</f>
        <v>0001104832</v>
      </c>
      <c r="C409" t="str">
        <f t="shared" si="108"/>
        <v xml:space="preserve">TR40/24 </v>
      </c>
      <c r="D409" t="str">
        <f>"50"</f>
        <v>50</v>
      </c>
      <c r="E409">
        <v>189.25399999999999</v>
      </c>
      <c r="F409">
        <v>376</v>
      </c>
      <c r="G409" t="str">
        <f>"1031814457"</f>
        <v>1031814457</v>
      </c>
      <c r="H409" t="str">
        <f t="shared" si="109"/>
        <v>2025-12-02</v>
      </c>
      <c r="I409" t="str">
        <f>"2512028600"</f>
        <v>2512028600</v>
      </c>
      <c r="J409" t="str">
        <f t="shared" si="107"/>
        <v>DELIVERED</v>
      </c>
    </row>
    <row r="410" spans="1:10" x14ac:dyDescent="0.25">
      <c r="A410" t="str">
        <f>"0000114681"</f>
        <v>0000114681</v>
      </c>
      <c r="B410" t="str">
        <f>"0001104832"</f>
        <v>0001104832</v>
      </c>
      <c r="C410" t="str">
        <f t="shared" si="108"/>
        <v xml:space="preserve">TR40/24 </v>
      </c>
      <c r="D410" t="str">
        <f>"50"</f>
        <v>50</v>
      </c>
      <c r="E410">
        <v>0.224</v>
      </c>
      <c r="F410">
        <v>343</v>
      </c>
      <c r="G410" t="str">
        <f>"1031815163"</f>
        <v>1031815163</v>
      </c>
      <c r="H410" t="str">
        <f t="shared" si="109"/>
        <v>2025-12-02</v>
      </c>
      <c r="I410" t="str">
        <f>"2512028600"</f>
        <v>2512028600</v>
      </c>
      <c r="J410" t="str">
        <f t="shared" si="107"/>
        <v>DELIVERED</v>
      </c>
    </row>
    <row r="411" spans="1:10" x14ac:dyDescent="0.25">
      <c r="A411" t="str">
        <f>"0000114681"</f>
        <v>0000114681</v>
      </c>
      <c r="B411" t="str">
        <f>"0001104832"</f>
        <v>0001104832</v>
      </c>
      <c r="C411" t="str">
        <f t="shared" si="108"/>
        <v xml:space="preserve">TR40/24 </v>
      </c>
      <c r="D411" t="str">
        <f>"50"</f>
        <v>50</v>
      </c>
      <c r="E411">
        <v>1437.1220000000001</v>
      </c>
      <c r="F411">
        <v>2395</v>
      </c>
      <c r="G411" t="str">
        <f>"1031815164"</f>
        <v>1031815164</v>
      </c>
      <c r="H411" t="str">
        <f t="shared" si="109"/>
        <v>2025-12-02</v>
      </c>
      <c r="I411" t="str">
        <f>"2512028600"</f>
        <v>2512028600</v>
      </c>
      <c r="J411" t="str">
        <f t="shared" si="107"/>
        <v>DELIVERED</v>
      </c>
    </row>
    <row r="412" spans="1:10" x14ac:dyDescent="0.25">
      <c r="A412" t="str">
        <f t="shared" ref="A412:A423" si="110">"0000114711"</f>
        <v>0000114711</v>
      </c>
      <c r="B412" t="str">
        <f t="shared" ref="B412:B425" si="111">"0001101507"</f>
        <v>0001101507</v>
      </c>
      <c r="C412" t="str">
        <f t="shared" si="108"/>
        <v xml:space="preserve">TR40/24 </v>
      </c>
      <c r="D412" t="str">
        <f t="shared" ref="D412:D423" si="112">"76"</f>
        <v>76</v>
      </c>
      <c r="E412">
        <v>1.351</v>
      </c>
      <c r="F412">
        <v>157</v>
      </c>
      <c r="G412" t="str">
        <f>"1031804415"</f>
        <v>1031804415</v>
      </c>
      <c r="H412" t="str">
        <f t="shared" si="109"/>
        <v>2025-12-02</v>
      </c>
      <c r="I412" t="str">
        <f t="shared" ref="I412:I421" si="113">"2512028590"</f>
        <v>2512028590</v>
      </c>
      <c r="J412" t="str">
        <f t="shared" si="107"/>
        <v>DELIVERED</v>
      </c>
    </row>
    <row r="413" spans="1:10" x14ac:dyDescent="0.25">
      <c r="A413" t="str">
        <f t="shared" si="110"/>
        <v>0000114711</v>
      </c>
      <c r="B413" t="str">
        <f t="shared" si="111"/>
        <v>0001101507</v>
      </c>
      <c r="C413" t="str">
        <f t="shared" si="108"/>
        <v xml:space="preserve">TR40/24 </v>
      </c>
      <c r="D413" t="str">
        <f t="shared" si="112"/>
        <v>76</v>
      </c>
      <c r="E413">
        <v>0.90800000000000003</v>
      </c>
      <c r="F413">
        <v>74</v>
      </c>
      <c r="G413" t="str">
        <f>"1031804417"</f>
        <v>1031804417</v>
      </c>
      <c r="H413" t="str">
        <f t="shared" si="109"/>
        <v>2025-12-02</v>
      </c>
      <c r="I413" t="str">
        <f t="shared" si="113"/>
        <v>2512028590</v>
      </c>
      <c r="J413" t="str">
        <f t="shared" si="107"/>
        <v>DELIVERED</v>
      </c>
    </row>
    <row r="414" spans="1:10" x14ac:dyDescent="0.25">
      <c r="A414" t="str">
        <f t="shared" si="110"/>
        <v>0000114711</v>
      </c>
      <c r="B414" t="str">
        <f t="shared" si="111"/>
        <v>0001101507</v>
      </c>
      <c r="C414" t="str">
        <f t="shared" si="108"/>
        <v xml:space="preserve">TR40/24 </v>
      </c>
      <c r="D414" t="str">
        <f t="shared" si="112"/>
        <v>76</v>
      </c>
      <c r="E414">
        <v>0.25700000000000001</v>
      </c>
      <c r="F414">
        <v>13</v>
      </c>
      <c r="G414" t="str">
        <f>"1031804418"</f>
        <v>1031804418</v>
      </c>
      <c r="H414" t="str">
        <f t="shared" si="109"/>
        <v>2025-12-02</v>
      </c>
      <c r="I414" t="str">
        <f t="shared" si="113"/>
        <v>2512028590</v>
      </c>
      <c r="J414" t="str">
        <f t="shared" si="107"/>
        <v>DELIVERED</v>
      </c>
    </row>
    <row r="415" spans="1:10" x14ac:dyDescent="0.25">
      <c r="A415" t="str">
        <f t="shared" si="110"/>
        <v>0000114711</v>
      </c>
      <c r="B415" t="str">
        <f t="shared" si="111"/>
        <v>0001101507</v>
      </c>
      <c r="C415" t="str">
        <f t="shared" si="108"/>
        <v xml:space="preserve">TR40/24 </v>
      </c>
      <c r="D415" t="str">
        <f t="shared" si="112"/>
        <v>76</v>
      </c>
      <c r="E415">
        <v>0.27300000000000002</v>
      </c>
      <c r="F415">
        <v>14</v>
      </c>
      <c r="G415" t="str">
        <f>"1031804419"</f>
        <v>1031804419</v>
      </c>
      <c r="H415" t="str">
        <f t="shared" si="109"/>
        <v>2025-12-02</v>
      </c>
      <c r="I415" t="str">
        <f t="shared" si="113"/>
        <v>2512028590</v>
      </c>
      <c r="J415" t="str">
        <f t="shared" si="107"/>
        <v>DELIVERED</v>
      </c>
    </row>
    <row r="416" spans="1:10" x14ac:dyDescent="0.25">
      <c r="A416" t="str">
        <f t="shared" si="110"/>
        <v>0000114711</v>
      </c>
      <c r="B416" t="str">
        <f t="shared" si="111"/>
        <v>0001101507</v>
      </c>
      <c r="C416" t="str">
        <f t="shared" si="108"/>
        <v xml:space="preserve">TR40/24 </v>
      </c>
      <c r="D416" t="str">
        <f t="shared" si="112"/>
        <v>76</v>
      </c>
      <c r="E416">
        <v>0.219</v>
      </c>
      <c r="F416">
        <v>14</v>
      </c>
      <c r="G416" t="str">
        <f>"1031804420"</f>
        <v>1031804420</v>
      </c>
      <c r="H416" t="str">
        <f t="shared" si="109"/>
        <v>2025-12-02</v>
      </c>
      <c r="I416" t="str">
        <f t="shared" si="113"/>
        <v>2512028590</v>
      </c>
      <c r="J416" t="str">
        <f t="shared" ref="J416:J421" si="114">"DELIVERED"</f>
        <v>DELIVERED</v>
      </c>
    </row>
    <row r="417" spans="1:10" x14ac:dyDescent="0.25">
      <c r="A417" t="str">
        <f t="shared" si="110"/>
        <v>0000114711</v>
      </c>
      <c r="B417" t="str">
        <f t="shared" si="111"/>
        <v>0001101507</v>
      </c>
      <c r="C417" t="str">
        <f t="shared" si="108"/>
        <v xml:space="preserve">TR40/24 </v>
      </c>
      <c r="D417" t="str">
        <f t="shared" si="112"/>
        <v>76</v>
      </c>
      <c r="E417">
        <v>0.20300000000000001</v>
      </c>
      <c r="F417">
        <v>13</v>
      </c>
      <c r="G417" t="str">
        <f>"1031804421"</f>
        <v>1031804421</v>
      </c>
      <c r="H417" t="str">
        <f t="shared" si="109"/>
        <v>2025-12-02</v>
      </c>
      <c r="I417" t="str">
        <f t="shared" si="113"/>
        <v>2512028590</v>
      </c>
      <c r="J417" t="str">
        <f t="shared" si="114"/>
        <v>DELIVERED</v>
      </c>
    </row>
    <row r="418" spans="1:10" x14ac:dyDescent="0.25">
      <c r="A418" t="str">
        <f t="shared" si="110"/>
        <v>0000114711</v>
      </c>
      <c r="B418" t="str">
        <f t="shared" si="111"/>
        <v>0001101507</v>
      </c>
      <c r="C418" t="str">
        <f t="shared" si="108"/>
        <v xml:space="preserve">TR40/24 </v>
      </c>
      <c r="D418" t="str">
        <f t="shared" si="112"/>
        <v>76</v>
      </c>
      <c r="E418">
        <v>2.73</v>
      </c>
      <c r="F418">
        <v>256</v>
      </c>
      <c r="G418" t="str">
        <f>"1031804446"</f>
        <v>1031804446</v>
      </c>
      <c r="H418" t="str">
        <f t="shared" si="109"/>
        <v>2025-12-02</v>
      </c>
      <c r="I418" t="str">
        <f t="shared" si="113"/>
        <v>2512028590</v>
      </c>
      <c r="J418" t="str">
        <f t="shared" si="114"/>
        <v>DELIVERED</v>
      </c>
    </row>
    <row r="419" spans="1:10" x14ac:dyDescent="0.25">
      <c r="A419" t="str">
        <f t="shared" si="110"/>
        <v>0000114711</v>
      </c>
      <c r="B419" t="str">
        <f t="shared" si="111"/>
        <v>0001101507</v>
      </c>
      <c r="C419" t="str">
        <f t="shared" ref="C419:C448" si="115">"TR40/24 "</f>
        <v xml:space="preserve">TR40/24 </v>
      </c>
      <c r="D419" t="str">
        <f t="shared" si="112"/>
        <v>76</v>
      </c>
      <c r="E419">
        <v>2.661</v>
      </c>
      <c r="F419">
        <v>202</v>
      </c>
      <c r="G419" t="str">
        <f>"1031804447"</f>
        <v>1031804447</v>
      </c>
      <c r="H419" t="str">
        <f t="shared" si="109"/>
        <v>2025-12-02</v>
      </c>
      <c r="I419" t="str">
        <f t="shared" si="113"/>
        <v>2512028590</v>
      </c>
      <c r="J419" t="str">
        <f t="shared" si="114"/>
        <v>DELIVERED</v>
      </c>
    </row>
    <row r="420" spans="1:10" x14ac:dyDescent="0.25">
      <c r="A420" t="str">
        <f t="shared" si="110"/>
        <v>0000114711</v>
      </c>
      <c r="B420" t="str">
        <f t="shared" si="111"/>
        <v>0001101507</v>
      </c>
      <c r="C420" t="str">
        <f t="shared" si="115"/>
        <v xml:space="preserve">TR40/24 </v>
      </c>
      <c r="D420" t="str">
        <f t="shared" si="112"/>
        <v>76</v>
      </c>
      <c r="E420">
        <v>1.417</v>
      </c>
      <c r="F420">
        <v>186</v>
      </c>
      <c r="G420" t="str">
        <f>"1031805869"</f>
        <v>1031805869</v>
      </c>
      <c r="H420" t="str">
        <f t="shared" si="109"/>
        <v>2025-12-02</v>
      </c>
      <c r="I420" t="str">
        <f t="shared" si="113"/>
        <v>2512028590</v>
      </c>
      <c r="J420" t="str">
        <f t="shared" si="114"/>
        <v>DELIVERED</v>
      </c>
    </row>
    <row r="421" spans="1:10" x14ac:dyDescent="0.25">
      <c r="A421" t="str">
        <f t="shared" si="110"/>
        <v>0000114711</v>
      </c>
      <c r="B421" t="str">
        <f t="shared" si="111"/>
        <v>0001101507</v>
      </c>
      <c r="C421" t="str">
        <f t="shared" si="115"/>
        <v xml:space="preserve">TR40/24 </v>
      </c>
      <c r="D421" t="str">
        <f t="shared" si="112"/>
        <v>76</v>
      </c>
      <c r="E421">
        <v>5.8639999999999999</v>
      </c>
      <c r="F421">
        <v>1500</v>
      </c>
      <c r="G421" t="str">
        <f>"1031811391"</f>
        <v>1031811391</v>
      </c>
      <c r="H421" t="str">
        <f t="shared" si="109"/>
        <v>2025-12-02</v>
      </c>
      <c r="I421" t="str">
        <f t="shared" si="113"/>
        <v>2512028590</v>
      </c>
      <c r="J421" t="str">
        <f t="shared" si="114"/>
        <v>DELIVERED</v>
      </c>
    </row>
    <row r="422" spans="1:10" x14ac:dyDescent="0.25">
      <c r="A422" t="str">
        <f t="shared" si="110"/>
        <v>0000114711</v>
      </c>
      <c r="B422" t="str">
        <f t="shared" si="111"/>
        <v>0001101507</v>
      </c>
      <c r="C422" t="str">
        <f t="shared" si="115"/>
        <v xml:space="preserve">TR40/24 </v>
      </c>
      <c r="D422" t="str">
        <f t="shared" si="112"/>
        <v>76</v>
      </c>
      <c r="E422">
        <v>13.909000000000001</v>
      </c>
      <c r="F422">
        <v>2103</v>
      </c>
      <c r="G422" t="str">
        <f>"1031811539"</f>
        <v>1031811539</v>
      </c>
      <c r="H422" t="str">
        <f t="shared" si="109"/>
        <v>2025-12-02</v>
      </c>
      <c r="I422" t="str">
        <f>""</f>
        <v/>
      </c>
      <c r="J422" t="str">
        <f>"NOT DELIVERED"</f>
        <v>NOT DELIVERED</v>
      </c>
    </row>
    <row r="423" spans="1:10" x14ac:dyDescent="0.25">
      <c r="A423" t="str">
        <f t="shared" si="110"/>
        <v>0000114711</v>
      </c>
      <c r="B423" t="str">
        <f t="shared" si="111"/>
        <v>0001101507</v>
      </c>
      <c r="C423" t="str">
        <f t="shared" si="115"/>
        <v xml:space="preserve">TR40/24 </v>
      </c>
      <c r="D423" t="str">
        <f t="shared" si="112"/>
        <v>76</v>
      </c>
      <c r="E423">
        <v>7.4960000000000004</v>
      </c>
      <c r="F423">
        <v>2331</v>
      </c>
      <c r="G423" t="str">
        <f>"1031812729"</f>
        <v>1031812729</v>
      </c>
      <c r="H423" t="str">
        <f t="shared" si="109"/>
        <v>2025-12-02</v>
      </c>
      <c r="I423" t="str">
        <f>"2512028590"</f>
        <v>2512028590</v>
      </c>
      <c r="J423" t="str">
        <f t="shared" ref="J423:J454" si="116">"DELIVERED"</f>
        <v>DELIVERED</v>
      </c>
    </row>
    <row r="424" spans="1:10" x14ac:dyDescent="0.25">
      <c r="A424" t="str">
        <f>"0000114804"</f>
        <v>0000114804</v>
      </c>
      <c r="B424" t="str">
        <f t="shared" si="111"/>
        <v>0001101507</v>
      </c>
      <c r="C424" t="str">
        <f t="shared" si="115"/>
        <v xml:space="preserve">TR40/24 </v>
      </c>
      <c r="D424" t="str">
        <f>"30"</f>
        <v>30</v>
      </c>
      <c r="E424">
        <v>9.32</v>
      </c>
      <c r="F424">
        <v>7383</v>
      </c>
      <c r="G424" t="str">
        <f>"1031814559"</f>
        <v>1031814559</v>
      </c>
      <c r="H424" t="str">
        <f t="shared" ref="H424:H431" si="117">"2025-12-02"</f>
        <v>2025-12-02</v>
      </c>
      <c r="I424" t="str">
        <f>"2512028732"</f>
        <v>2512028732</v>
      </c>
      <c r="J424" t="str">
        <f t="shared" si="116"/>
        <v>DELIVERED</v>
      </c>
    </row>
    <row r="425" spans="1:10" x14ac:dyDescent="0.25">
      <c r="A425" t="str">
        <f>"0000114804"</f>
        <v>0000114804</v>
      </c>
      <c r="B425" t="str">
        <f t="shared" si="111"/>
        <v>0001101507</v>
      </c>
      <c r="C425" t="str">
        <f t="shared" si="115"/>
        <v xml:space="preserve">TR40/24 </v>
      </c>
      <c r="D425" t="str">
        <f>"30"</f>
        <v>30</v>
      </c>
      <c r="E425">
        <v>13.936</v>
      </c>
      <c r="F425">
        <v>2389</v>
      </c>
      <c r="G425" t="str">
        <f>"1031815264"</f>
        <v>1031815264</v>
      </c>
      <c r="H425" t="str">
        <f t="shared" si="117"/>
        <v>2025-12-02</v>
      </c>
      <c r="I425" t="str">
        <f>"2512028732"</f>
        <v>2512028732</v>
      </c>
      <c r="J425" t="str">
        <f t="shared" si="116"/>
        <v>DELIVERED</v>
      </c>
    </row>
    <row r="426" spans="1:10" x14ac:dyDescent="0.25">
      <c r="A426" t="str">
        <f>"0000114809"</f>
        <v>0000114809</v>
      </c>
      <c r="B426" t="str">
        <f>"0001104920"</f>
        <v>0001104920</v>
      </c>
      <c r="C426" t="str">
        <f t="shared" si="115"/>
        <v xml:space="preserve">TR40/24 </v>
      </c>
      <c r="D426" t="str">
        <f>"57"</f>
        <v>57</v>
      </c>
      <c r="E426">
        <v>6.4770000000000003</v>
      </c>
      <c r="F426">
        <v>664</v>
      </c>
      <c r="G426" t="str">
        <f>"1031812849"</f>
        <v>1031812849</v>
      </c>
      <c r="H426" t="str">
        <f t="shared" si="117"/>
        <v>2025-12-02</v>
      </c>
      <c r="I426" t="str">
        <f>"2512028572"</f>
        <v>2512028572</v>
      </c>
      <c r="J426" t="str">
        <f t="shared" si="116"/>
        <v>DELIVERED</v>
      </c>
    </row>
    <row r="427" spans="1:10" x14ac:dyDescent="0.25">
      <c r="A427" t="str">
        <f>"0000114809"</f>
        <v>0000114809</v>
      </c>
      <c r="B427" t="str">
        <f>"0001104920"</f>
        <v>0001104920</v>
      </c>
      <c r="C427" t="str">
        <f t="shared" si="115"/>
        <v xml:space="preserve">TR40/24 </v>
      </c>
      <c r="D427" t="str">
        <f>"57"</f>
        <v>57</v>
      </c>
      <c r="E427">
        <v>13.867000000000001</v>
      </c>
      <c r="F427">
        <v>2535</v>
      </c>
      <c r="G427" t="str">
        <f>"1031814033"</f>
        <v>1031814033</v>
      </c>
      <c r="H427" t="str">
        <f t="shared" si="117"/>
        <v>2025-12-02</v>
      </c>
      <c r="I427" t="str">
        <f>"2512028582"</f>
        <v>2512028582</v>
      </c>
      <c r="J427" t="str">
        <f t="shared" si="116"/>
        <v>DELIVERED</v>
      </c>
    </row>
    <row r="428" spans="1:10" x14ac:dyDescent="0.25">
      <c r="A428" t="str">
        <f>"0000114843"</f>
        <v>0000114843</v>
      </c>
      <c r="B428" t="str">
        <f>"0001102092"</f>
        <v>0001102092</v>
      </c>
      <c r="C428" t="str">
        <f t="shared" si="115"/>
        <v xml:space="preserve">TR40/24 </v>
      </c>
      <c r="D428" t="str">
        <f>"79"</f>
        <v>79</v>
      </c>
      <c r="E428">
        <v>8.8859999999999992</v>
      </c>
      <c r="F428">
        <v>200</v>
      </c>
      <c r="G428" t="str">
        <f>"1031813386"</f>
        <v>1031813386</v>
      </c>
      <c r="H428" t="str">
        <f t="shared" si="117"/>
        <v>2025-12-02</v>
      </c>
      <c r="I428" t="str">
        <f>"2512017980"</f>
        <v>2512017980</v>
      </c>
      <c r="J428" t="str">
        <f t="shared" si="116"/>
        <v>DELIVERED</v>
      </c>
    </row>
    <row r="429" spans="1:10" x14ac:dyDescent="0.25">
      <c r="A429" t="str">
        <f>"0000114843"</f>
        <v>0000114843</v>
      </c>
      <c r="B429" t="str">
        <f>"0001102092"</f>
        <v>0001102092</v>
      </c>
      <c r="C429" t="str">
        <f t="shared" si="115"/>
        <v xml:space="preserve">TR40/24 </v>
      </c>
      <c r="D429" t="str">
        <f>"79"</f>
        <v>79</v>
      </c>
      <c r="E429">
        <v>0.435</v>
      </c>
      <c r="F429">
        <v>400</v>
      </c>
      <c r="G429" t="str">
        <f>"1031813490"</f>
        <v>1031813490</v>
      </c>
      <c r="H429" t="str">
        <f t="shared" si="117"/>
        <v>2025-12-02</v>
      </c>
      <c r="I429" t="str">
        <f>"2512017980"</f>
        <v>2512017980</v>
      </c>
      <c r="J429" t="str">
        <f t="shared" si="116"/>
        <v>DELIVERED</v>
      </c>
    </row>
    <row r="430" spans="1:10" x14ac:dyDescent="0.25">
      <c r="A430" t="str">
        <f>"0000114843"</f>
        <v>0000114843</v>
      </c>
      <c r="B430" t="str">
        <f>"0001102092"</f>
        <v>0001102092</v>
      </c>
      <c r="C430" t="str">
        <f t="shared" si="115"/>
        <v xml:space="preserve">TR40/24 </v>
      </c>
      <c r="D430" t="str">
        <f>"79"</f>
        <v>79</v>
      </c>
      <c r="E430">
        <v>22.222999999999999</v>
      </c>
      <c r="F430">
        <v>2200</v>
      </c>
      <c r="G430" t="str">
        <f>"1031813733"</f>
        <v>1031813733</v>
      </c>
      <c r="H430" t="str">
        <f t="shared" si="117"/>
        <v>2025-12-02</v>
      </c>
      <c r="I430" t="str">
        <f>"2512027936"</f>
        <v>2512027936</v>
      </c>
      <c r="J430" t="str">
        <f t="shared" si="116"/>
        <v>DELIVERED</v>
      </c>
    </row>
    <row r="431" spans="1:10" x14ac:dyDescent="0.25">
      <c r="A431" t="str">
        <f>"0000114986"</f>
        <v>0000114986</v>
      </c>
      <c r="B431" t="str">
        <f>"0001104923"</f>
        <v>0001104923</v>
      </c>
      <c r="C431" t="str">
        <f t="shared" si="115"/>
        <v xml:space="preserve">TR40/24 </v>
      </c>
      <c r="D431" t="str">
        <f>"46"</f>
        <v>46</v>
      </c>
      <c r="E431">
        <v>28.093</v>
      </c>
      <c r="F431">
        <v>395</v>
      </c>
      <c r="G431" t="str">
        <f>"1031815257"</f>
        <v>1031815257</v>
      </c>
      <c r="H431" t="str">
        <f t="shared" si="117"/>
        <v>2025-12-02</v>
      </c>
      <c r="I431" t="str">
        <f>"2512028588"</f>
        <v>2512028588</v>
      </c>
      <c r="J431" t="str">
        <f t="shared" si="116"/>
        <v>DELIVERED</v>
      </c>
    </row>
    <row r="432" spans="1:10" x14ac:dyDescent="0.25">
      <c r="A432" t="str">
        <f>"0000112035"</f>
        <v>0000112035</v>
      </c>
      <c r="B432" t="str">
        <f>"0001101688"</f>
        <v>0001101688</v>
      </c>
      <c r="C432" t="str">
        <f t="shared" si="115"/>
        <v xml:space="preserve">TR40/24 </v>
      </c>
      <c r="D432" t="str">
        <f>"57"</f>
        <v>57</v>
      </c>
      <c r="E432">
        <v>1034.952</v>
      </c>
      <c r="F432">
        <v>1639</v>
      </c>
      <c r="G432" t="str">
        <f>"1031813023"</f>
        <v>1031813023</v>
      </c>
      <c r="H432" t="str">
        <f t="shared" ref="H432:H463" si="118">"2025-12-03"</f>
        <v>2025-12-03</v>
      </c>
      <c r="I432" t="str">
        <f>"2512038782"</f>
        <v>2512038782</v>
      </c>
      <c r="J432" t="str">
        <f t="shared" si="116"/>
        <v>DELIVERED</v>
      </c>
    </row>
    <row r="433" spans="1:10" x14ac:dyDescent="0.25">
      <c r="A433" t="str">
        <f>"0000112035"</f>
        <v>0000112035</v>
      </c>
      <c r="B433" t="str">
        <f>"0001101688"</f>
        <v>0001101688</v>
      </c>
      <c r="C433" t="str">
        <f t="shared" si="115"/>
        <v xml:space="preserve">TR40/24 </v>
      </c>
      <c r="D433" t="str">
        <f>"57"</f>
        <v>57</v>
      </c>
      <c r="E433">
        <v>9.57</v>
      </c>
      <c r="F433">
        <v>3686</v>
      </c>
      <c r="G433" t="str">
        <f>"1031814296"</f>
        <v>1031814296</v>
      </c>
      <c r="H433" t="str">
        <f t="shared" si="118"/>
        <v>2025-12-03</v>
      </c>
      <c r="I433" t="str">
        <f>"2512038814"</f>
        <v>2512038814</v>
      </c>
      <c r="J433" t="str">
        <f t="shared" si="116"/>
        <v>DELIVERED</v>
      </c>
    </row>
    <row r="434" spans="1:10" x14ac:dyDescent="0.25">
      <c r="A434" t="str">
        <f>"0000112035"</f>
        <v>0000112035</v>
      </c>
      <c r="B434" t="str">
        <f>"0001101688"</f>
        <v>0001101688</v>
      </c>
      <c r="C434" t="str">
        <f t="shared" si="115"/>
        <v xml:space="preserve">TR40/24 </v>
      </c>
      <c r="D434" t="str">
        <f>"57"</f>
        <v>57</v>
      </c>
      <c r="E434">
        <v>1.5349999999999999</v>
      </c>
      <c r="F434">
        <v>81</v>
      </c>
      <c r="G434" t="str">
        <f>"1031815449"</f>
        <v>1031815449</v>
      </c>
      <c r="H434" t="str">
        <f t="shared" si="118"/>
        <v>2025-12-03</v>
      </c>
      <c r="I434" t="str">
        <f>"2512038782"</f>
        <v>2512038782</v>
      </c>
      <c r="J434" t="str">
        <f t="shared" si="116"/>
        <v>DELIVERED</v>
      </c>
    </row>
    <row r="435" spans="1:10" x14ac:dyDescent="0.25">
      <c r="A435" t="str">
        <f>"0000112035"</f>
        <v>0000112035</v>
      </c>
      <c r="B435" t="str">
        <f>"0001101688"</f>
        <v>0001101688</v>
      </c>
      <c r="C435" t="str">
        <f t="shared" si="115"/>
        <v xml:space="preserve">TR40/24 </v>
      </c>
      <c r="D435" t="str">
        <f>"57"</f>
        <v>57</v>
      </c>
      <c r="E435">
        <v>162.20500000000001</v>
      </c>
      <c r="F435">
        <v>243</v>
      </c>
      <c r="G435" t="str">
        <f>"1031815450"</f>
        <v>1031815450</v>
      </c>
      <c r="H435" t="str">
        <f t="shared" si="118"/>
        <v>2025-12-03</v>
      </c>
      <c r="I435" t="str">
        <f>"2512038782"</f>
        <v>2512038782</v>
      </c>
      <c r="J435" t="str">
        <f t="shared" si="116"/>
        <v>DELIVERED</v>
      </c>
    </row>
    <row r="436" spans="1:10" x14ac:dyDescent="0.25">
      <c r="A436" t="str">
        <f t="shared" ref="A436:A441" si="119">"0000113074"</f>
        <v>0000113074</v>
      </c>
      <c r="B436" t="str">
        <f t="shared" ref="B436:B441" si="120">"0001101504"</f>
        <v>0001101504</v>
      </c>
      <c r="C436" t="str">
        <f t="shared" si="115"/>
        <v xml:space="preserve">TR40/24 </v>
      </c>
      <c r="D436" t="str">
        <f t="shared" ref="D436:D441" si="121">"24"</f>
        <v>24</v>
      </c>
      <c r="E436">
        <v>10.691000000000001</v>
      </c>
      <c r="F436">
        <v>1491</v>
      </c>
      <c r="G436" t="str">
        <f>"1031816189"</f>
        <v>1031816189</v>
      </c>
      <c r="H436" t="str">
        <f t="shared" si="118"/>
        <v>2025-12-03</v>
      </c>
      <c r="I436" t="str">
        <f t="shared" ref="I436:I441" si="122">"2512038907"</f>
        <v>2512038907</v>
      </c>
      <c r="J436" t="str">
        <f t="shared" si="116"/>
        <v>DELIVERED</v>
      </c>
    </row>
    <row r="437" spans="1:10" x14ac:dyDescent="0.25">
      <c r="A437" t="str">
        <f t="shared" si="119"/>
        <v>0000113074</v>
      </c>
      <c r="B437" t="str">
        <f t="shared" si="120"/>
        <v>0001101504</v>
      </c>
      <c r="C437" t="str">
        <f t="shared" si="115"/>
        <v xml:space="preserve">TR40/24 </v>
      </c>
      <c r="D437" t="str">
        <f t="shared" si="121"/>
        <v>24</v>
      </c>
      <c r="E437">
        <v>2.9870000000000001</v>
      </c>
      <c r="F437">
        <v>545</v>
      </c>
      <c r="G437" t="str">
        <f>"1031816192"</f>
        <v>1031816192</v>
      </c>
      <c r="H437" t="str">
        <f t="shared" si="118"/>
        <v>2025-12-03</v>
      </c>
      <c r="I437" t="str">
        <f t="shared" si="122"/>
        <v>2512038907</v>
      </c>
      <c r="J437" t="str">
        <f t="shared" si="116"/>
        <v>DELIVERED</v>
      </c>
    </row>
    <row r="438" spans="1:10" x14ac:dyDescent="0.25">
      <c r="A438" t="str">
        <f t="shared" si="119"/>
        <v>0000113074</v>
      </c>
      <c r="B438" t="str">
        <f t="shared" si="120"/>
        <v>0001101504</v>
      </c>
      <c r="C438" t="str">
        <f t="shared" si="115"/>
        <v xml:space="preserve">TR40/24 </v>
      </c>
      <c r="D438" t="str">
        <f t="shared" si="121"/>
        <v>24</v>
      </c>
      <c r="E438">
        <v>3.36</v>
      </c>
      <c r="F438">
        <v>782</v>
      </c>
      <c r="G438" t="str">
        <f>"1031816193"</f>
        <v>1031816193</v>
      </c>
      <c r="H438" t="str">
        <f t="shared" si="118"/>
        <v>2025-12-03</v>
      </c>
      <c r="I438" t="str">
        <f t="shared" si="122"/>
        <v>2512038907</v>
      </c>
      <c r="J438" t="str">
        <f t="shared" si="116"/>
        <v>DELIVERED</v>
      </c>
    </row>
    <row r="439" spans="1:10" x14ac:dyDescent="0.25">
      <c r="A439" t="str">
        <f t="shared" si="119"/>
        <v>0000113074</v>
      </c>
      <c r="B439" t="str">
        <f t="shared" si="120"/>
        <v>0001101504</v>
      </c>
      <c r="C439" t="str">
        <f t="shared" si="115"/>
        <v xml:space="preserve">TR40/24 </v>
      </c>
      <c r="D439" t="str">
        <f t="shared" si="121"/>
        <v>24</v>
      </c>
      <c r="E439">
        <v>3.0179999999999998</v>
      </c>
      <c r="F439">
        <v>2581</v>
      </c>
      <c r="G439" t="str">
        <f>"1031816194"</f>
        <v>1031816194</v>
      </c>
      <c r="H439" t="str">
        <f t="shared" si="118"/>
        <v>2025-12-03</v>
      </c>
      <c r="I439" t="str">
        <f t="shared" si="122"/>
        <v>2512038907</v>
      </c>
      <c r="J439" t="str">
        <f t="shared" si="116"/>
        <v>DELIVERED</v>
      </c>
    </row>
    <row r="440" spans="1:10" x14ac:dyDescent="0.25">
      <c r="A440" t="str">
        <f t="shared" si="119"/>
        <v>0000113074</v>
      </c>
      <c r="B440" t="str">
        <f t="shared" si="120"/>
        <v>0001101504</v>
      </c>
      <c r="C440" t="str">
        <f t="shared" si="115"/>
        <v xml:space="preserve">TR40/24 </v>
      </c>
      <c r="D440" t="str">
        <f t="shared" si="121"/>
        <v>24</v>
      </c>
      <c r="E440">
        <v>0.80700000000000005</v>
      </c>
      <c r="F440">
        <v>639</v>
      </c>
      <c r="G440" t="str">
        <f>"1031816195"</f>
        <v>1031816195</v>
      </c>
      <c r="H440" t="str">
        <f t="shared" si="118"/>
        <v>2025-12-03</v>
      </c>
      <c r="I440" t="str">
        <f t="shared" si="122"/>
        <v>2512038907</v>
      </c>
      <c r="J440" t="str">
        <f t="shared" si="116"/>
        <v>DELIVERED</v>
      </c>
    </row>
    <row r="441" spans="1:10" x14ac:dyDescent="0.25">
      <c r="A441" t="str">
        <f t="shared" si="119"/>
        <v>0000113074</v>
      </c>
      <c r="B441" t="str">
        <f t="shared" si="120"/>
        <v>0001101504</v>
      </c>
      <c r="C441" t="str">
        <f t="shared" si="115"/>
        <v xml:space="preserve">TR40/24 </v>
      </c>
      <c r="D441" t="str">
        <f t="shared" si="121"/>
        <v>24</v>
      </c>
      <c r="E441">
        <v>0.81100000000000005</v>
      </c>
      <c r="F441">
        <v>620</v>
      </c>
      <c r="G441" t="str">
        <f>"1031816196"</f>
        <v>1031816196</v>
      </c>
      <c r="H441" t="str">
        <f t="shared" si="118"/>
        <v>2025-12-03</v>
      </c>
      <c r="I441" t="str">
        <f t="shared" si="122"/>
        <v>2512038907</v>
      </c>
      <c r="J441" t="str">
        <f t="shared" si="116"/>
        <v>DELIVERED</v>
      </c>
    </row>
    <row r="442" spans="1:10" x14ac:dyDescent="0.25">
      <c r="A442" t="str">
        <f>"0000113084"</f>
        <v>0000113084</v>
      </c>
      <c r="B442" t="str">
        <f>"0001101231"</f>
        <v>0001101231</v>
      </c>
      <c r="C442" t="str">
        <f t="shared" si="115"/>
        <v xml:space="preserve">TR40/24 </v>
      </c>
      <c r="D442" t="str">
        <f>"99"</f>
        <v>99</v>
      </c>
      <c r="E442">
        <v>2.492</v>
      </c>
      <c r="F442">
        <v>558</v>
      </c>
      <c r="G442" t="str">
        <f>"1031815617"</f>
        <v>1031815617</v>
      </c>
      <c r="H442" t="str">
        <f t="shared" si="118"/>
        <v>2025-12-03</v>
      </c>
      <c r="I442" t="str">
        <f>"2512028584"</f>
        <v>2512028584</v>
      </c>
      <c r="J442" t="str">
        <f t="shared" si="116"/>
        <v>DELIVERED</v>
      </c>
    </row>
    <row r="443" spans="1:10" x14ac:dyDescent="0.25">
      <c r="A443" t="str">
        <f>"0000113084"</f>
        <v>0000113084</v>
      </c>
      <c r="B443" t="str">
        <f>"0001101231"</f>
        <v>0001101231</v>
      </c>
      <c r="C443" t="str">
        <f t="shared" si="115"/>
        <v xml:space="preserve">TR40/24 </v>
      </c>
      <c r="D443" t="str">
        <f>"99"</f>
        <v>99</v>
      </c>
      <c r="E443">
        <v>2.5990000000000002</v>
      </c>
      <c r="F443">
        <v>343</v>
      </c>
      <c r="G443" t="str">
        <f>"1031815639"</f>
        <v>1031815639</v>
      </c>
      <c r="H443" t="str">
        <f t="shared" si="118"/>
        <v>2025-12-03</v>
      </c>
      <c r="I443" t="str">
        <f>"2512028584"</f>
        <v>2512028584</v>
      </c>
      <c r="J443" t="str">
        <f t="shared" si="116"/>
        <v>DELIVERED</v>
      </c>
    </row>
    <row r="444" spans="1:10" x14ac:dyDescent="0.25">
      <c r="A444" t="str">
        <f>"0000113084"</f>
        <v>0000113084</v>
      </c>
      <c r="B444" t="str">
        <f>"0001101231"</f>
        <v>0001101231</v>
      </c>
      <c r="C444" t="str">
        <f t="shared" si="115"/>
        <v xml:space="preserve">TR40/24 </v>
      </c>
      <c r="D444" t="str">
        <f>"99"</f>
        <v>99</v>
      </c>
      <c r="E444">
        <v>4.7009999999999996</v>
      </c>
      <c r="F444">
        <v>1297</v>
      </c>
      <c r="G444" t="str">
        <f>"1031815679"</f>
        <v>1031815679</v>
      </c>
      <c r="H444" t="str">
        <f t="shared" si="118"/>
        <v>2025-12-03</v>
      </c>
      <c r="I444" t="str">
        <f>"2512028584"</f>
        <v>2512028584</v>
      </c>
      <c r="J444" t="str">
        <f t="shared" si="116"/>
        <v>DELIVERED</v>
      </c>
    </row>
    <row r="445" spans="1:10" x14ac:dyDescent="0.25">
      <c r="A445" t="str">
        <f t="shared" ref="A445:A451" si="123">"0000113362"</f>
        <v>0000113362</v>
      </c>
      <c r="B445" t="str">
        <f t="shared" ref="B445:B451" si="124">"0001101727"</f>
        <v>0001101727</v>
      </c>
      <c r="C445" t="str">
        <f t="shared" si="115"/>
        <v xml:space="preserve">TR40/24 </v>
      </c>
      <c r="D445" t="str">
        <f t="shared" ref="D445:D451" si="125">"73"</f>
        <v>73</v>
      </c>
      <c r="E445">
        <v>14.019</v>
      </c>
      <c r="F445">
        <v>1766</v>
      </c>
      <c r="G445" t="str">
        <f>"1031804762"</f>
        <v>1031804762</v>
      </c>
      <c r="H445" t="str">
        <f t="shared" si="118"/>
        <v>2025-12-03</v>
      </c>
      <c r="I445" t="str">
        <f>"2512038802"</f>
        <v>2512038802</v>
      </c>
      <c r="J445" t="str">
        <f t="shared" si="116"/>
        <v>DELIVERED</v>
      </c>
    </row>
    <row r="446" spans="1:10" x14ac:dyDescent="0.25">
      <c r="A446" t="str">
        <f t="shared" si="123"/>
        <v>0000113362</v>
      </c>
      <c r="B446" t="str">
        <f t="shared" si="124"/>
        <v>0001101727</v>
      </c>
      <c r="C446" t="str">
        <f t="shared" si="115"/>
        <v xml:space="preserve">TR40/24 </v>
      </c>
      <c r="D446" t="str">
        <f t="shared" si="125"/>
        <v>73</v>
      </c>
      <c r="E446">
        <v>16.035</v>
      </c>
      <c r="F446">
        <v>24</v>
      </c>
      <c r="G446" t="str">
        <f>"1031804763"</f>
        <v>1031804763</v>
      </c>
      <c r="H446" t="str">
        <f t="shared" si="118"/>
        <v>2025-12-03</v>
      </c>
      <c r="I446" t="str">
        <f>"2512038802"</f>
        <v>2512038802</v>
      </c>
      <c r="J446" t="str">
        <f t="shared" si="116"/>
        <v>DELIVERED</v>
      </c>
    </row>
    <row r="447" spans="1:10" x14ac:dyDescent="0.25">
      <c r="A447" t="str">
        <f t="shared" si="123"/>
        <v>0000113362</v>
      </c>
      <c r="B447" t="str">
        <f t="shared" si="124"/>
        <v>0001101727</v>
      </c>
      <c r="C447" t="str">
        <f t="shared" si="115"/>
        <v xml:space="preserve">TR40/24 </v>
      </c>
      <c r="D447" t="str">
        <f t="shared" si="125"/>
        <v>73</v>
      </c>
      <c r="E447">
        <v>8.0139999999999993</v>
      </c>
      <c r="F447">
        <v>1251</v>
      </c>
      <c r="G447" t="str">
        <f>"1031807887"</f>
        <v>1031807887</v>
      </c>
      <c r="H447" t="str">
        <f t="shared" si="118"/>
        <v>2025-12-03</v>
      </c>
      <c r="I447" t="str">
        <f>"2512027227"</f>
        <v>2512027227</v>
      </c>
      <c r="J447" t="str">
        <f t="shared" si="116"/>
        <v>DELIVERED</v>
      </c>
    </row>
    <row r="448" spans="1:10" x14ac:dyDescent="0.25">
      <c r="A448" t="str">
        <f t="shared" si="123"/>
        <v>0000113362</v>
      </c>
      <c r="B448" t="str">
        <f t="shared" si="124"/>
        <v>0001101727</v>
      </c>
      <c r="C448" t="str">
        <f t="shared" si="115"/>
        <v xml:space="preserve">TR40/24 </v>
      </c>
      <c r="D448" t="str">
        <f t="shared" si="125"/>
        <v>73</v>
      </c>
      <c r="E448">
        <v>12.97</v>
      </c>
      <c r="F448">
        <v>1699</v>
      </c>
      <c r="G448" t="str">
        <f>"1031807893"</f>
        <v>1031807893</v>
      </c>
      <c r="H448" t="str">
        <f t="shared" si="118"/>
        <v>2025-12-03</v>
      </c>
      <c r="I448" t="str">
        <f>"2512027227"</f>
        <v>2512027227</v>
      </c>
      <c r="J448" t="str">
        <f t="shared" si="116"/>
        <v>DELIVERED</v>
      </c>
    </row>
    <row r="449" spans="1:10" x14ac:dyDescent="0.25">
      <c r="A449" t="str">
        <f t="shared" si="123"/>
        <v>0000113362</v>
      </c>
      <c r="B449" t="str">
        <f t="shared" si="124"/>
        <v>0001101727</v>
      </c>
      <c r="C449" t="str">
        <f>"LB30    "</f>
        <v xml:space="preserve">LB30    </v>
      </c>
      <c r="D449" t="str">
        <f t="shared" si="125"/>
        <v>73</v>
      </c>
      <c r="E449">
        <v>18.885999999999999</v>
      </c>
      <c r="F449">
        <v>4066</v>
      </c>
      <c r="G449" t="str">
        <f>"1031810637"</f>
        <v>1031810637</v>
      </c>
      <c r="H449" t="str">
        <f t="shared" si="118"/>
        <v>2025-12-03</v>
      </c>
      <c r="I449" t="str">
        <f>"2512038897"</f>
        <v>2512038897</v>
      </c>
      <c r="J449" t="str">
        <f t="shared" si="116"/>
        <v>DELIVERED</v>
      </c>
    </row>
    <row r="450" spans="1:10" x14ac:dyDescent="0.25">
      <c r="A450" t="str">
        <f t="shared" si="123"/>
        <v>0000113362</v>
      </c>
      <c r="B450" t="str">
        <f t="shared" si="124"/>
        <v>0001101727</v>
      </c>
      <c r="C450" t="str">
        <f t="shared" ref="C450:C482" si="126">"TR40/24 "</f>
        <v xml:space="preserve">TR40/24 </v>
      </c>
      <c r="D450" t="str">
        <f t="shared" si="125"/>
        <v>73</v>
      </c>
      <c r="E450">
        <v>768.755</v>
      </c>
      <c r="F450">
        <v>1512</v>
      </c>
      <c r="G450" t="str">
        <f>"1031813269"</f>
        <v>1031813269</v>
      </c>
      <c r="H450" t="str">
        <f t="shared" si="118"/>
        <v>2025-12-03</v>
      </c>
      <c r="I450" t="str">
        <f>"2512038789"</f>
        <v>2512038789</v>
      </c>
      <c r="J450" t="str">
        <f t="shared" si="116"/>
        <v>DELIVERED</v>
      </c>
    </row>
    <row r="451" spans="1:10" x14ac:dyDescent="0.25">
      <c r="A451" t="str">
        <f t="shared" si="123"/>
        <v>0000113362</v>
      </c>
      <c r="B451" t="str">
        <f t="shared" si="124"/>
        <v>0001101727</v>
      </c>
      <c r="C451" t="str">
        <f t="shared" si="126"/>
        <v xml:space="preserve">TR40/24 </v>
      </c>
      <c r="D451" t="str">
        <f t="shared" si="125"/>
        <v>73</v>
      </c>
      <c r="E451">
        <v>10.856</v>
      </c>
      <c r="F451">
        <v>1117</v>
      </c>
      <c r="G451" t="str">
        <f>"1031813275"</f>
        <v>1031813275</v>
      </c>
      <c r="H451" t="str">
        <f t="shared" si="118"/>
        <v>2025-12-03</v>
      </c>
      <c r="I451" t="str">
        <f>"2512038789"</f>
        <v>2512038789</v>
      </c>
      <c r="J451" t="str">
        <f t="shared" si="116"/>
        <v>DELIVERED</v>
      </c>
    </row>
    <row r="452" spans="1:10" x14ac:dyDescent="0.25">
      <c r="A452" t="str">
        <f>"0000113450"</f>
        <v>0000113450</v>
      </c>
      <c r="B452" t="str">
        <f>"0001104583"</f>
        <v>0001104583</v>
      </c>
      <c r="C452" t="str">
        <f t="shared" si="126"/>
        <v xml:space="preserve">TR40/24 </v>
      </c>
      <c r="D452" t="str">
        <f>"99"</f>
        <v>99</v>
      </c>
      <c r="E452">
        <v>702.32</v>
      </c>
      <c r="F452">
        <v>1178</v>
      </c>
      <c r="G452" t="str">
        <f>"1031814284"</f>
        <v>1031814284</v>
      </c>
      <c r="H452" t="str">
        <f t="shared" si="118"/>
        <v>2025-12-03</v>
      </c>
      <c r="I452" t="str">
        <f>"2512038781"</f>
        <v>2512038781</v>
      </c>
      <c r="J452" t="str">
        <f t="shared" si="116"/>
        <v>DELIVERED</v>
      </c>
    </row>
    <row r="453" spans="1:10" x14ac:dyDescent="0.25">
      <c r="A453" t="str">
        <f>"0000113450"</f>
        <v>0000113450</v>
      </c>
      <c r="B453" t="str">
        <f>"0001104583"</f>
        <v>0001104583</v>
      </c>
      <c r="C453" t="str">
        <f t="shared" si="126"/>
        <v xml:space="preserve">TR40/24 </v>
      </c>
      <c r="D453" t="str">
        <f>"99"</f>
        <v>99</v>
      </c>
      <c r="E453">
        <v>0.26600000000000001</v>
      </c>
      <c r="F453">
        <v>9</v>
      </c>
      <c r="G453" t="str">
        <f>"1031814285"</f>
        <v>1031814285</v>
      </c>
      <c r="H453" t="str">
        <f t="shared" si="118"/>
        <v>2025-12-03</v>
      </c>
      <c r="I453" t="str">
        <f>"2512038781"</f>
        <v>2512038781</v>
      </c>
      <c r="J453" t="str">
        <f t="shared" si="116"/>
        <v>DELIVERED</v>
      </c>
    </row>
    <row r="454" spans="1:10" x14ac:dyDescent="0.25">
      <c r="A454" t="str">
        <f>"0000113450"</f>
        <v>0000113450</v>
      </c>
      <c r="B454" t="str">
        <f>"0001104583"</f>
        <v>0001104583</v>
      </c>
      <c r="C454" t="str">
        <f t="shared" si="126"/>
        <v xml:space="preserve">TR40/24 </v>
      </c>
      <c r="D454" t="str">
        <f>"99"</f>
        <v>99</v>
      </c>
      <c r="E454">
        <v>22.972999999999999</v>
      </c>
      <c r="F454">
        <v>690</v>
      </c>
      <c r="G454" t="str">
        <f>"1031814290"</f>
        <v>1031814290</v>
      </c>
      <c r="H454" t="str">
        <f t="shared" si="118"/>
        <v>2025-12-03</v>
      </c>
      <c r="I454" t="str">
        <f>"2512038751"</f>
        <v>2512038751</v>
      </c>
      <c r="J454" t="str">
        <f t="shared" si="116"/>
        <v>DELIVERED</v>
      </c>
    </row>
    <row r="455" spans="1:10" x14ac:dyDescent="0.25">
      <c r="A455" t="str">
        <f>"0000113450"</f>
        <v>0000113450</v>
      </c>
      <c r="B455" t="str">
        <f>"0001104583"</f>
        <v>0001104583</v>
      </c>
      <c r="C455" t="str">
        <f t="shared" si="126"/>
        <v xml:space="preserve">TR40/24 </v>
      </c>
      <c r="D455" t="str">
        <f>"99"</f>
        <v>99</v>
      </c>
      <c r="E455">
        <v>3.4820000000000002</v>
      </c>
      <c r="F455">
        <v>179</v>
      </c>
      <c r="G455" t="str">
        <f>"1031815424"</f>
        <v>1031815424</v>
      </c>
      <c r="H455" t="str">
        <f t="shared" si="118"/>
        <v>2025-12-03</v>
      </c>
      <c r="I455" t="str">
        <f>"2512038781"</f>
        <v>2512038781</v>
      </c>
      <c r="J455" t="str">
        <f t="shared" ref="J455:J486" si="127">"DELIVERED"</f>
        <v>DELIVERED</v>
      </c>
    </row>
    <row r="456" spans="1:10" x14ac:dyDescent="0.25">
      <c r="A456" t="str">
        <f>"0000113584"</f>
        <v>0000113584</v>
      </c>
      <c r="B456" t="str">
        <f>"0001103017"</f>
        <v>0001103017</v>
      </c>
      <c r="C456" t="str">
        <f t="shared" si="126"/>
        <v xml:space="preserve">TR40/24 </v>
      </c>
      <c r="D456" t="str">
        <f>"20"</f>
        <v>20</v>
      </c>
      <c r="E456">
        <v>4.819</v>
      </c>
      <c r="F456">
        <v>1183</v>
      </c>
      <c r="G456" t="str">
        <f>"1031807663"</f>
        <v>1031807663</v>
      </c>
      <c r="H456" t="str">
        <f t="shared" si="118"/>
        <v>2025-12-03</v>
      </c>
      <c r="I456" t="str">
        <f>"2512028586"</f>
        <v>2512028586</v>
      </c>
      <c r="J456" t="str">
        <f t="shared" si="127"/>
        <v>DELIVERED</v>
      </c>
    </row>
    <row r="457" spans="1:10" x14ac:dyDescent="0.25">
      <c r="A457" t="str">
        <f>"0000113584"</f>
        <v>0000113584</v>
      </c>
      <c r="B457" t="str">
        <f>"0001103017"</f>
        <v>0001103017</v>
      </c>
      <c r="C457" t="str">
        <f t="shared" si="126"/>
        <v xml:space="preserve">TR40/24 </v>
      </c>
      <c r="D457" t="str">
        <f>"20"</f>
        <v>20</v>
      </c>
      <c r="E457">
        <v>5.2370000000000001</v>
      </c>
      <c r="F457">
        <v>3012</v>
      </c>
      <c r="G457" t="str">
        <f>"1031807664"</f>
        <v>1031807664</v>
      </c>
      <c r="H457" t="str">
        <f t="shared" si="118"/>
        <v>2025-12-03</v>
      </c>
      <c r="I457" t="str">
        <f>"2512028586"</f>
        <v>2512028586</v>
      </c>
      <c r="J457" t="str">
        <f t="shared" si="127"/>
        <v>DELIVERED</v>
      </c>
    </row>
    <row r="458" spans="1:10" x14ac:dyDescent="0.25">
      <c r="A458" t="str">
        <f>"0000113584"</f>
        <v>0000113584</v>
      </c>
      <c r="B458" t="str">
        <f>"0001103017"</f>
        <v>0001103017</v>
      </c>
      <c r="C458" t="str">
        <f t="shared" si="126"/>
        <v xml:space="preserve">TR40/24 </v>
      </c>
      <c r="D458" t="str">
        <f>"20"</f>
        <v>20</v>
      </c>
      <c r="E458">
        <v>4.5250000000000004</v>
      </c>
      <c r="F458">
        <v>2234</v>
      </c>
      <c r="G458" t="str">
        <f>"1031807688"</f>
        <v>1031807688</v>
      </c>
      <c r="H458" t="str">
        <f t="shared" si="118"/>
        <v>2025-12-03</v>
      </c>
      <c r="I458" t="str">
        <f>"2512028586"</f>
        <v>2512028586</v>
      </c>
      <c r="J458" t="str">
        <f t="shared" si="127"/>
        <v>DELIVERED</v>
      </c>
    </row>
    <row r="459" spans="1:10" x14ac:dyDescent="0.25">
      <c r="A459" t="str">
        <f>"0000113584"</f>
        <v>0000113584</v>
      </c>
      <c r="B459" t="str">
        <f>"0001103017"</f>
        <v>0001103017</v>
      </c>
      <c r="C459" t="str">
        <f t="shared" si="126"/>
        <v xml:space="preserve">TR40/24 </v>
      </c>
      <c r="D459" t="str">
        <f>"20"</f>
        <v>20</v>
      </c>
      <c r="E459">
        <v>3.5009999999999999</v>
      </c>
      <c r="F459">
        <v>1803</v>
      </c>
      <c r="G459" t="str">
        <f>"1031807705"</f>
        <v>1031807705</v>
      </c>
      <c r="H459" t="str">
        <f t="shared" si="118"/>
        <v>2025-12-03</v>
      </c>
      <c r="I459" t="str">
        <f>"2512028586"</f>
        <v>2512028586</v>
      </c>
      <c r="J459" t="str">
        <f t="shared" si="127"/>
        <v>DELIVERED</v>
      </c>
    </row>
    <row r="460" spans="1:10" x14ac:dyDescent="0.25">
      <c r="A460" t="str">
        <f>"0000113610"</f>
        <v>0000113610</v>
      </c>
      <c r="B460" t="str">
        <f>"0001101231"</f>
        <v>0001101231</v>
      </c>
      <c r="C460" t="str">
        <f t="shared" si="126"/>
        <v xml:space="preserve">TR40/24 </v>
      </c>
      <c r="D460" t="str">
        <f>"50"</f>
        <v>50</v>
      </c>
      <c r="E460">
        <v>9.58</v>
      </c>
      <c r="F460">
        <v>626</v>
      </c>
      <c r="G460" t="str">
        <f>"1031816093"</f>
        <v>1031816093</v>
      </c>
      <c r="H460" t="str">
        <f t="shared" si="118"/>
        <v>2025-12-03</v>
      </c>
      <c r="I460" t="str">
        <f>"2512038803"</f>
        <v>2512038803</v>
      </c>
      <c r="J460" t="str">
        <f t="shared" si="127"/>
        <v>DELIVERED</v>
      </c>
    </row>
    <row r="461" spans="1:10" x14ac:dyDescent="0.25">
      <c r="A461" t="str">
        <f>"0000113755"</f>
        <v>0000113755</v>
      </c>
      <c r="B461" t="str">
        <f>"0001101505"</f>
        <v>0001101505</v>
      </c>
      <c r="C461" t="str">
        <f t="shared" si="126"/>
        <v xml:space="preserve">TR40/24 </v>
      </c>
      <c r="D461" t="str">
        <f>"15"</f>
        <v>15</v>
      </c>
      <c r="E461">
        <v>7.9569999999999999</v>
      </c>
      <c r="F461">
        <v>2683</v>
      </c>
      <c r="G461" t="str">
        <f>"1031802891"</f>
        <v>1031802891</v>
      </c>
      <c r="H461" t="str">
        <f t="shared" si="118"/>
        <v>2025-12-03</v>
      </c>
      <c r="I461" t="str">
        <f>"2511295661"</f>
        <v>2511295661</v>
      </c>
      <c r="J461" t="str">
        <f t="shared" si="127"/>
        <v>DELIVERED</v>
      </c>
    </row>
    <row r="462" spans="1:10" x14ac:dyDescent="0.25">
      <c r="A462" t="str">
        <f>"0000113755"</f>
        <v>0000113755</v>
      </c>
      <c r="B462" t="str">
        <f>"0001101505"</f>
        <v>0001101505</v>
      </c>
      <c r="C462" t="str">
        <f t="shared" si="126"/>
        <v xml:space="preserve">TR40/24 </v>
      </c>
      <c r="D462" t="str">
        <f>"15"</f>
        <v>15</v>
      </c>
      <c r="E462">
        <v>7.1689999999999996</v>
      </c>
      <c r="F462">
        <v>3111</v>
      </c>
      <c r="G462" t="str">
        <f>"1031802923"</f>
        <v>1031802923</v>
      </c>
      <c r="H462" t="str">
        <f t="shared" si="118"/>
        <v>2025-12-03</v>
      </c>
      <c r="I462" t="str">
        <f>"2511295661"</f>
        <v>2511295661</v>
      </c>
      <c r="J462" t="str">
        <f t="shared" si="127"/>
        <v>DELIVERED</v>
      </c>
    </row>
    <row r="463" spans="1:10" x14ac:dyDescent="0.25">
      <c r="A463" t="str">
        <f>"0000113755"</f>
        <v>0000113755</v>
      </c>
      <c r="B463" t="str">
        <f>"0001101505"</f>
        <v>0001101505</v>
      </c>
      <c r="C463" t="str">
        <f t="shared" si="126"/>
        <v xml:space="preserve">TR40/24 </v>
      </c>
      <c r="D463" t="str">
        <f>"15"</f>
        <v>15</v>
      </c>
      <c r="E463">
        <v>7.3929999999999998</v>
      </c>
      <c r="F463">
        <v>1809</v>
      </c>
      <c r="G463" t="str">
        <f>"1031811124"</f>
        <v>1031811124</v>
      </c>
      <c r="H463" t="str">
        <f t="shared" si="118"/>
        <v>2025-12-03</v>
      </c>
      <c r="I463" t="str">
        <f>"2512028589"</f>
        <v>2512028589</v>
      </c>
      <c r="J463" t="str">
        <f t="shared" si="127"/>
        <v>DELIVERED</v>
      </c>
    </row>
    <row r="464" spans="1:10" x14ac:dyDescent="0.25">
      <c r="A464" t="str">
        <f>"0000113755"</f>
        <v>0000113755</v>
      </c>
      <c r="B464" t="str">
        <f>"0001101505"</f>
        <v>0001101505</v>
      </c>
      <c r="C464" t="str">
        <f t="shared" si="126"/>
        <v xml:space="preserve">TR40/24 </v>
      </c>
      <c r="D464" t="str">
        <f>"15"</f>
        <v>15</v>
      </c>
      <c r="E464">
        <v>4.7850000000000001</v>
      </c>
      <c r="F464">
        <v>2412</v>
      </c>
      <c r="G464" t="str">
        <f>"1031811152"</f>
        <v>1031811152</v>
      </c>
      <c r="H464" t="str">
        <f t="shared" ref="H464:H495" si="128">"2025-12-03"</f>
        <v>2025-12-03</v>
      </c>
      <c r="I464" t="str">
        <f>"2512028596"</f>
        <v>2512028596</v>
      </c>
      <c r="J464" t="str">
        <f t="shared" si="127"/>
        <v>DELIVERED</v>
      </c>
    </row>
    <row r="465" spans="1:10" x14ac:dyDescent="0.25">
      <c r="A465" t="str">
        <f>"0000113755"</f>
        <v>0000113755</v>
      </c>
      <c r="B465" t="str">
        <f>"0001101505"</f>
        <v>0001101505</v>
      </c>
      <c r="C465" t="str">
        <f t="shared" si="126"/>
        <v xml:space="preserve">TR40/24 </v>
      </c>
      <c r="D465" t="str">
        <f>"15"</f>
        <v>15</v>
      </c>
      <c r="E465">
        <v>0.27700000000000002</v>
      </c>
      <c r="F465">
        <v>60</v>
      </c>
      <c r="G465" t="str">
        <f>"1031815821"</f>
        <v>1031815821</v>
      </c>
      <c r="H465" t="str">
        <f t="shared" si="128"/>
        <v>2025-12-03</v>
      </c>
      <c r="I465" t="str">
        <f>"2512028589"</f>
        <v>2512028589</v>
      </c>
      <c r="J465" t="str">
        <f t="shared" si="127"/>
        <v>DELIVERED</v>
      </c>
    </row>
    <row r="466" spans="1:10" x14ac:dyDescent="0.25">
      <c r="A466" t="str">
        <f>"0000113925"</f>
        <v>0000113925</v>
      </c>
      <c r="B466" t="str">
        <f>"0001103664"</f>
        <v>0001103664</v>
      </c>
      <c r="C466" t="str">
        <f t="shared" si="126"/>
        <v xml:space="preserve">TR40/24 </v>
      </c>
      <c r="D466" t="str">
        <f>"56"</f>
        <v>56</v>
      </c>
      <c r="E466">
        <v>3.5059999999999998</v>
      </c>
      <c r="F466">
        <v>1119</v>
      </c>
      <c r="G466" t="str">
        <f>"1031811993"</f>
        <v>1031811993</v>
      </c>
      <c r="H466" t="str">
        <f t="shared" si="128"/>
        <v>2025-12-03</v>
      </c>
      <c r="I466" t="str">
        <f>"2512018216"</f>
        <v>2512018216</v>
      </c>
      <c r="J466" t="str">
        <f t="shared" si="127"/>
        <v>DELIVERED</v>
      </c>
    </row>
    <row r="467" spans="1:10" x14ac:dyDescent="0.25">
      <c r="A467" t="str">
        <f>"0000113925"</f>
        <v>0000113925</v>
      </c>
      <c r="B467" t="str">
        <f>"0001103664"</f>
        <v>0001103664</v>
      </c>
      <c r="C467" t="str">
        <f t="shared" si="126"/>
        <v xml:space="preserve">TR40/24 </v>
      </c>
      <c r="D467" t="str">
        <f>"56"</f>
        <v>56</v>
      </c>
      <c r="E467">
        <v>2.6589999999999998</v>
      </c>
      <c r="F467">
        <v>1258</v>
      </c>
      <c r="G467" t="str">
        <f>"1031811994"</f>
        <v>1031811994</v>
      </c>
      <c r="H467" t="str">
        <f t="shared" si="128"/>
        <v>2025-12-03</v>
      </c>
      <c r="I467" t="str">
        <f>"2512018216"</f>
        <v>2512018216</v>
      </c>
      <c r="J467" t="str">
        <f t="shared" si="127"/>
        <v>DELIVERED</v>
      </c>
    </row>
    <row r="468" spans="1:10" x14ac:dyDescent="0.25">
      <c r="A468" t="str">
        <f>"0000113925"</f>
        <v>0000113925</v>
      </c>
      <c r="B468" t="str">
        <f>"0001103664"</f>
        <v>0001103664</v>
      </c>
      <c r="C468" t="str">
        <f t="shared" si="126"/>
        <v xml:space="preserve">TR40/24 </v>
      </c>
      <c r="D468" t="str">
        <f>"56"</f>
        <v>56</v>
      </c>
      <c r="E468">
        <v>3.036</v>
      </c>
      <c r="F468">
        <v>1106</v>
      </c>
      <c r="G468" t="str">
        <f>"1031812000"</f>
        <v>1031812000</v>
      </c>
      <c r="H468" t="str">
        <f t="shared" si="128"/>
        <v>2025-12-03</v>
      </c>
      <c r="I468" t="str">
        <f>"2512018216"</f>
        <v>2512018216</v>
      </c>
      <c r="J468" t="str">
        <f t="shared" si="127"/>
        <v>DELIVERED</v>
      </c>
    </row>
    <row r="469" spans="1:10" x14ac:dyDescent="0.25">
      <c r="A469" t="str">
        <f>"0000113925"</f>
        <v>0000113925</v>
      </c>
      <c r="B469" t="str">
        <f>"0001103664"</f>
        <v>0001103664</v>
      </c>
      <c r="C469" t="str">
        <f t="shared" si="126"/>
        <v xml:space="preserve">TR40/24 </v>
      </c>
      <c r="D469" t="str">
        <f>"56"</f>
        <v>56</v>
      </c>
      <c r="E469">
        <v>0.96099999999999997</v>
      </c>
      <c r="F469">
        <v>678</v>
      </c>
      <c r="G469" t="str">
        <f>"1031812001"</f>
        <v>1031812001</v>
      </c>
      <c r="H469" t="str">
        <f t="shared" si="128"/>
        <v>2025-12-03</v>
      </c>
      <c r="I469" t="str">
        <f>"2512018216"</f>
        <v>2512018216</v>
      </c>
      <c r="J469" t="str">
        <f t="shared" si="127"/>
        <v>DELIVERED</v>
      </c>
    </row>
    <row r="470" spans="1:10" x14ac:dyDescent="0.25">
      <c r="A470" t="str">
        <f>"0000113988"</f>
        <v>0000113988</v>
      </c>
      <c r="B470" t="str">
        <f>"0001101663"</f>
        <v>0001101663</v>
      </c>
      <c r="C470" t="str">
        <f t="shared" si="126"/>
        <v xml:space="preserve">TR40/24 </v>
      </c>
      <c r="D470" t="str">
        <f>"60"</f>
        <v>60</v>
      </c>
      <c r="E470">
        <v>4.7389999999999999</v>
      </c>
      <c r="F470">
        <v>1222</v>
      </c>
      <c r="G470" t="str">
        <f>"1031811703"</f>
        <v>1031811703</v>
      </c>
      <c r="H470" t="str">
        <f t="shared" si="128"/>
        <v>2025-12-03</v>
      </c>
      <c r="I470" t="str">
        <f>"2512038899"</f>
        <v>2512038899</v>
      </c>
      <c r="J470" t="str">
        <f t="shared" si="127"/>
        <v>DELIVERED</v>
      </c>
    </row>
    <row r="471" spans="1:10" x14ac:dyDescent="0.25">
      <c r="A471" t="str">
        <f>"0000113988"</f>
        <v>0000113988</v>
      </c>
      <c r="B471" t="str">
        <f>"0001101663"</f>
        <v>0001101663</v>
      </c>
      <c r="C471" t="str">
        <f t="shared" si="126"/>
        <v xml:space="preserve">TR40/24 </v>
      </c>
      <c r="D471" t="str">
        <f>"60"</f>
        <v>60</v>
      </c>
      <c r="E471">
        <v>2.8820000000000001</v>
      </c>
      <c r="F471">
        <v>1177</v>
      </c>
      <c r="G471" t="str">
        <f>"1031811775"</f>
        <v>1031811775</v>
      </c>
      <c r="H471" t="str">
        <f t="shared" si="128"/>
        <v>2025-12-03</v>
      </c>
      <c r="I471" t="str">
        <f>"2512038899"</f>
        <v>2512038899</v>
      </c>
      <c r="J471" t="str">
        <f t="shared" si="127"/>
        <v>DELIVERED</v>
      </c>
    </row>
    <row r="472" spans="1:10" x14ac:dyDescent="0.25">
      <c r="A472" t="str">
        <f>"0000113988"</f>
        <v>0000113988</v>
      </c>
      <c r="B472" t="str">
        <f>"0001101663"</f>
        <v>0001101663</v>
      </c>
      <c r="C472" t="str">
        <f t="shared" si="126"/>
        <v xml:space="preserve">TR40/24 </v>
      </c>
      <c r="D472" t="str">
        <f>"60"</f>
        <v>60</v>
      </c>
      <c r="E472">
        <v>264.30900000000003</v>
      </c>
      <c r="F472">
        <v>526</v>
      </c>
      <c r="G472" t="str">
        <f>"1031811776"</f>
        <v>1031811776</v>
      </c>
      <c r="H472" t="str">
        <f t="shared" si="128"/>
        <v>2025-12-03</v>
      </c>
      <c r="I472" t="str">
        <f>"2512038899"</f>
        <v>2512038899</v>
      </c>
      <c r="J472" t="str">
        <f t="shared" si="127"/>
        <v>DELIVERED</v>
      </c>
    </row>
    <row r="473" spans="1:10" x14ac:dyDescent="0.25">
      <c r="A473" t="str">
        <f>"0000114070"</f>
        <v>0000114070</v>
      </c>
      <c r="B473" t="str">
        <f>"0001104284"</f>
        <v>0001104284</v>
      </c>
      <c r="C473" t="str">
        <f t="shared" si="126"/>
        <v xml:space="preserve">TR40/24 </v>
      </c>
      <c r="D473" t="str">
        <f>"06"</f>
        <v>06</v>
      </c>
      <c r="E473">
        <v>26.303000000000001</v>
      </c>
      <c r="F473">
        <v>1194</v>
      </c>
      <c r="G473" t="str">
        <f>"1031813998"</f>
        <v>1031813998</v>
      </c>
      <c r="H473" t="str">
        <f t="shared" si="128"/>
        <v>2025-12-03</v>
      </c>
      <c r="I473" t="str">
        <f>"2512017394"</f>
        <v>2512017394</v>
      </c>
      <c r="J473" t="str">
        <f t="shared" si="127"/>
        <v>DELIVERED</v>
      </c>
    </row>
    <row r="474" spans="1:10" x14ac:dyDescent="0.25">
      <c r="A474" t="str">
        <f>"0000114114"</f>
        <v>0000114114</v>
      </c>
      <c r="B474" t="str">
        <f>"0001101798"</f>
        <v>0001101798</v>
      </c>
      <c r="C474" t="str">
        <f t="shared" si="126"/>
        <v xml:space="preserve">TR40/24 </v>
      </c>
      <c r="D474" t="str">
        <f>"01"</f>
        <v>01</v>
      </c>
      <c r="E474">
        <v>11.143000000000001</v>
      </c>
      <c r="F474">
        <v>1548</v>
      </c>
      <c r="G474" t="str">
        <f>"1031816918"</f>
        <v>1031816918</v>
      </c>
      <c r="H474" t="str">
        <f t="shared" si="128"/>
        <v>2025-12-03</v>
      </c>
      <c r="I474" t="str">
        <f>"2512039239"</f>
        <v>2512039239</v>
      </c>
      <c r="J474" t="str">
        <f t="shared" si="127"/>
        <v>DELIVERED</v>
      </c>
    </row>
    <row r="475" spans="1:10" x14ac:dyDescent="0.25">
      <c r="A475" t="str">
        <f>"0000114114"</f>
        <v>0000114114</v>
      </c>
      <c r="B475" t="str">
        <f>"0001101798"</f>
        <v>0001101798</v>
      </c>
      <c r="C475" t="str">
        <f t="shared" si="126"/>
        <v xml:space="preserve">TR40/24 </v>
      </c>
      <c r="D475" t="str">
        <f>"01"</f>
        <v>01</v>
      </c>
      <c r="E475">
        <v>23.99</v>
      </c>
      <c r="F475">
        <v>1228</v>
      </c>
      <c r="G475" t="str">
        <f>"1031816974"</f>
        <v>1031816974</v>
      </c>
      <c r="H475" t="str">
        <f t="shared" si="128"/>
        <v>2025-12-03</v>
      </c>
      <c r="I475" t="str">
        <f>"2512039242"</f>
        <v>2512039242</v>
      </c>
      <c r="J475" t="str">
        <f t="shared" si="127"/>
        <v>DELIVERED</v>
      </c>
    </row>
    <row r="476" spans="1:10" x14ac:dyDescent="0.25">
      <c r="A476" t="str">
        <f>"0000114189"</f>
        <v>0000114189</v>
      </c>
      <c r="B476" t="str">
        <f>"0001102806"</f>
        <v>0001102806</v>
      </c>
      <c r="C476" t="str">
        <f t="shared" si="126"/>
        <v xml:space="preserve">TR40/24 </v>
      </c>
      <c r="D476" t="str">
        <f>"63"</f>
        <v>63</v>
      </c>
      <c r="E476">
        <v>1.234</v>
      </c>
      <c r="F476">
        <v>5000</v>
      </c>
      <c r="G476" t="str">
        <f>"1031816353"</f>
        <v>1031816353</v>
      </c>
      <c r="H476" t="str">
        <f t="shared" si="128"/>
        <v>2025-12-03</v>
      </c>
      <c r="I476" t="str">
        <f>"2512039245"</f>
        <v>2512039245</v>
      </c>
      <c r="J476" t="str">
        <f t="shared" si="127"/>
        <v>DELIVERED</v>
      </c>
    </row>
    <row r="477" spans="1:10" x14ac:dyDescent="0.25">
      <c r="A477" t="str">
        <f>"0000114189"</f>
        <v>0000114189</v>
      </c>
      <c r="B477" t="str">
        <f>"0001102806"</f>
        <v>0001102806</v>
      </c>
      <c r="C477" t="str">
        <f t="shared" si="126"/>
        <v xml:space="preserve">TR40/24 </v>
      </c>
      <c r="D477" t="str">
        <f>"63"</f>
        <v>63</v>
      </c>
      <c r="E477">
        <v>1.327</v>
      </c>
      <c r="F477">
        <v>5000</v>
      </c>
      <c r="G477" t="str">
        <f>"1031816354"</f>
        <v>1031816354</v>
      </c>
      <c r="H477" t="str">
        <f t="shared" si="128"/>
        <v>2025-12-03</v>
      </c>
      <c r="I477" t="str">
        <f>"2512039245"</f>
        <v>2512039245</v>
      </c>
      <c r="J477" t="str">
        <f t="shared" si="127"/>
        <v>DELIVERED</v>
      </c>
    </row>
    <row r="478" spans="1:10" x14ac:dyDescent="0.25">
      <c r="A478" t="str">
        <f>"0000114249"</f>
        <v>0000114249</v>
      </c>
      <c r="B478" t="str">
        <f>"0001101663"</f>
        <v>0001101663</v>
      </c>
      <c r="C478" t="str">
        <f t="shared" si="126"/>
        <v xml:space="preserve">TR40/24 </v>
      </c>
      <c r="D478" t="str">
        <f>"76"</f>
        <v>76</v>
      </c>
      <c r="E478">
        <v>1.1970000000000001</v>
      </c>
      <c r="F478">
        <v>451</v>
      </c>
      <c r="G478" t="str">
        <f>"1031814287"</f>
        <v>1031814287</v>
      </c>
      <c r="H478" t="str">
        <f t="shared" si="128"/>
        <v>2025-12-03</v>
      </c>
      <c r="I478" t="str">
        <f>"2512038801"</f>
        <v>2512038801</v>
      </c>
      <c r="J478" t="str">
        <f t="shared" si="127"/>
        <v>DELIVERED</v>
      </c>
    </row>
    <row r="479" spans="1:10" x14ac:dyDescent="0.25">
      <c r="A479" t="str">
        <f>"0000114298"</f>
        <v>0000114298</v>
      </c>
      <c r="B479" t="str">
        <f>"0001101477"</f>
        <v>0001101477</v>
      </c>
      <c r="C479" t="str">
        <f t="shared" si="126"/>
        <v xml:space="preserve">TR40/24 </v>
      </c>
      <c r="D479" t="str">
        <f>"39"</f>
        <v>39</v>
      </c>
      <c r="E479">
        <v>15.417</v>
      </c>
      <c r="F479">
        <v>6753</v>
      </c>
      <c r="G479" t="str">
        <f>"1031804739"</f>
        <v>1031804739</v>
      </c>
      <c r="H479" t="str">
        <f t="shared" si="128"/>
        <v>2025-12-03</v>
      </c>
      <c r="I479" t="str">
        <f>"2512038796"</f>
        <v>2512038796</v>
      </c>
      <c r="J479" t="str">
        <f t="shared" si="127"/>
        <v>DELIVERED</v>
      </c>
    </row>
    <row r="480" spans="1:10" x14ac:dyDescent="0.25">
      <c r="A480" t="str">
        <f>"0000114298"</f>
        <v>0000114298</v>
      </c>
      <c r="B480" t="str">
        <f>"0001101477"</f>
        <v>0001101477</v>
      </c>
      <c r="C480" t="str">
        <f t="shared" si="126"/>
        <v xml:space="preserve">TR40/24 </v>
      </c>
      <c r="D480" t="str">
        <f>"39"</f>
        <v>39</v>
      </c>
      <c r="E480">
        <v>21.904</v>
      </c>
      <c r="F480">
        <v>3045</v>
      </c>
      <c r="G480" t="str">
        <f>"1031805845"</f>
        <v>1031805845</v>
      </c>
      <c r="H480" t="str">
        <f t="shared" si="128"/>
        <v>2025-12-03</v>
      </c>
      <c r="I480" t="str">
        <f>"2512038813"</f>
        <v>2512038813</v>
      </c>
      <c r="J480" t="str">
        <f t="shared" si="127"/>
        <v>DELIVERED</v>
      </c>
    </row>
    <row r="481" spans="1:10" x14ac:dyDescent="0.25">
      <c r="A481" t="str">
        <f t="shared" ref="A481:A492" si="129">"0000114325"</f>
        <v>0000114325</v>
      </c>
      <c r="B481" t="str">
        <f t="shared" ref="B481:B492" si="130">"0001102646"</f>
        <v>0001102646</v>
      </c>
      <c r="C481" t="str">
        <f t="shared" si="126"/>
        <v xml:space="preserve">TR40/24 </v>
      </c>
      <c r="D481" t="str">
        <f t="shared" ref="D481:D492" si="131">"43"</f>
        <v>43</v>
      </c>
      <c r="E481">
        <v>3.8959999999999999</v>
      </c>
      <c r="F481">
        <v>1181</v>
      </c>
      <c r="G481" t="str">
        <f>"1031808230"</f>
        <v>1031808230</v>
      </c>
      <c r="H481" t="str">
        <f t="shared" si="128"/>
        <v>2025-12-03</v>
      </c>
      <c r="I481" t="str">
        <f>"2512028607"</f>
        <v>2512028607</v>
      </c>
      <c r="J481" t="str">
        <f t="shared" si="127"/>
        <v>DELIVERED</v>
      </c>
    </row>
    <row r="482" spans="1:10" x14ac:dyDescent="0.25">
      <c r="A482" t="str">
        <f t="shared" si="129"/>
        <v>0000114325</v>
      </c>
      <c r="B482" t="str">
        <f t="shared" si="130"/>
        <v>0001102646</v>
      </c>
      <c r="C482" t="str">
        <f t="shared" si="126"/>
        <v xml:space="preserve">TR40/24 </v>
      </c>
      <c r="D482" t="str">
        <f t="shared" si="131"/>
        <v>43</v>
      </c>
      <c r="E482">
        <v>1.109</v>
      </c>
      <c r="F482">
        <v>285</v>
      </c>
      <c r="G482" t="str">
        <f>"1031808231"</f>
        <v>1031808231</v>
      </c>
      <c r="H482" t="str">
        <f t="shared" si="128"/>
        <v>2025-12-03</v>
      </c>
      <c r="I482" t="str">
        <f>"2512028607"</f>
        <v>2512028607</v>
      </c>
      <c r="J482" t="str">
        <f t="shared" si="127"/>
        <v>DELIVERED</v>
      </c>
    </row>
    <row r="483" spans="1:10" x14ac:dyDescent="0.25">
      <c r="A483" t="str">
        <f t="shared" si="129"/>
        <v>0000114325</v>
      </c>
      <c r="B483" t="str">
        <f t="shared" si="130"/>
        <v>0001102646</v>
      </c>
      <c r="C483" t="str">
        <f t="shared" ref="C483:C491" si="132">"HC      "</f>
        <v xml:space="preserve">HC      </v>
      </c>
      <c r="D483" t="str">
        <f t="shared" si="131"/>
        <v>43</v>
      </c>
      <c r="E483">
        <v>4.6139999999999999</v>
      </c>
      <c r="F483">
        <v>1583</v>
      </c>
      <c r="G483" t="str">
        <f>"1031809849"</f>
        <v>1031809849</v>
      </c>
      <c r="H483" t="str">
        <f t="shared" si="128"/>
        <v>2025-12-03</v>
      </c>
      <c r="I483" t="str">
        <f>"2512038913"</f>
        <v>2512038913</v>
      </c>
      <c r="J483" t="str">
        <f t="shared" si="127"/>
        <v>DELIVERED</v>
      </c>
    </row>
    <row r="484" spans="1:10" x14ac:dyDescent="0.25">
      <c r="A484" t="str">
        <f t="shared" si="129"/>
        <v>0000114325</v>
      </c>
      <c r="B484" t="str">
        <f t="shared" si="130"/>
        <v>0001102646</v>
      </c>
      <c r="C484" t="str">
        <f t="shared" si="132"/>
        <v xml:space="preserve">HC      </v>
      </c>
      <c r="D484" t="str">
        <f t="shared" si="131"/>
        <v>43</v>
      </c>
      <c r="E484">
        <v>0.47599999999999998</v>
      </c>
      <c r="F484">
        <v>237</v>
      </c>
      <c r="G484" t="str">
        <f>"1031809850"</f>
        <v>1031809850</v>
      </c>
      <c r="H484" t="str">
        <f t="shared" si="128"/>
        <v>2025-12-03</v>
      </c>
      <c r="I484" t="str">
        <f>"2512038913"</f>
        <v>2512038913</v>
      </c>
      <c r="J484" t="str">
        <f t="shared" si="127"/>
        <v>DELIVERED</v>
      </c>
    </row>
    <row r="485" spans="1:10" x14ac:dyDescent="0.25">
      <c r="A485" t="str">
        <f t="shared" si="129"/>
        <v>0000114325</v>
      </c>
      <c r="B485" t="str">
        <f t="shared" si="130"/>
        <v>0001102646</v>
      </c>
      <c r="C485" t="str">
        <f t="shared" si="132"/>
        <v xml:space="preserve">HC      </v>
      </c>
      <c r="D485" t="str">
        <f t="shared" si="131"/>
        <v>43</v>
      </c>
      <c r="E485">
        <v>1.643</v>
      </c>
      <c r="F485">
        <v>825</v>
      </c>
      <c r="G485" t="str">
        <f>"1031809851"</f>
        <v>1031809851</v>
      </c>
      <c r="H485" t="str">
        <f t="shared" si="128"/>
        <v>2025-12-03</v>
      </c>
      <c r="I485" t="str">
        <f>"2512028607"</f>
        <v>2512028607</v>
      </c>
      <c r="J485" t="str">
        <f t="shared" si="127"/>
        <v>DELIVERED</v>
      </c>
    </row>
    <row r="486" spans="1:10" x14ac:dyDescent="0.25">
      <c r="A486" t="str">
        <f t="shared" si="129"/>
        <v>0000114325</v>
      </c>
      <c r="B486" t="str">
        <f t="shared" si="130"/>
        <v>0001102646</v>
      </c>
      <c r="C486" t="str">
        <f t="shared" si="132"/>
        <v xml:space="preserve">HC      </v>
      </c>
      <c r="D486" t="str">
        <f t="shared" si="131"/>
        <v>43</v>
      </c>
      <c r="E486">
        <v>4.6609999999999996</v>
      </c>
      <c r="F486">
        <v>1615</v>
      </c>
      <c r="G486" t="str">
        <f>"1031809852"</f>
        <v>1031809852</v>
      </c>
      <c r="H486" t="str">
        <f t="shared" si="128"/>
        <v>2025-12-03</v>
      </c>
      <c r="I486" t="str">
        <f>"2512038913"</f>
        <v>2512038913</v>
      </c>
      <c r="J486" t="str">
        <f t="shared" si="127"/>
        <v>DELIVERED</v>
      </c>
    </row>
    <row r="487" spans="1:10" x14ac:dyDescent="0.25">
      <c r="A487" t="str">
        <f t="shared" si="129"/>
        <v>0000114325</v>
      </c>
      <c r="B487" t="str">
        <f t="shared" si="130"/>
        <v>0001102646</v>
      </c>
      <c r="C487" t="str">
        <f t="shared" si="132"/>
        <v xml:space="preserve">HC      </v>
      </c>
      <c r="D487" t="str">
        <f t="shared" si="131"/>
        <v>43</v>
      </c>
      <c r="E487">
        <v>0.46300000000000002</v>
      </c>
      <c r="F487">
        <v>203</v>
      </c>
      <c r="G487" t="str">
        <f>"1031809853"</f>
        <v>1031809853</v>
      </c>
      <c r="H487" t="str">
        <f t="shared" si="128"/>
        <v>2025-12-03</v>
      </c>
      <c r="I487" t="str">
        <f>"2512038913"</f>
        <v>2512038913</v>
      </c>
      <c r="J487" t="str">
        <f t="shared" ref="J487:J518" si="133">"DELIVERED"</f>
        <v>DELIVERED</v>
      </c>
    </row>
    <row r="488" spans="1:10" x14ac:dyDescent="0.25">
      <c r="A488" t="str">
        <f t="shared" si="129"/>
        <v>0000114325</v>
      </c>
      <c r="B488" t="str">
        <f t="shared" si="130"/>
        <v>0001102646</v>
      </c>
      <c r="C488" t="str">
        <f t="shared" si="132"/>
        <v xml:space="preserve">HC      </v>
      </c>
      <c r="D488" t="str">
        <f t="shared" si="131"/>
        <v>43</v>
      </c>
      <c r="E488">
        <v>4.4690000000000003</v>
      </c>
      <c r="F488">
        <v>1577</v>
      </c>
      <c r="G488" t="str">
        <f>"1031809854"</f>
        <v>1031809854</v>
      </c>
      <c r="H488" t="str">
        <f t="shared" si="128"/>
        <v>2025-12-03</v>
      </c>
      <c r="I488" t="str">
        <f>"2512038910"</f>
        <v>2512038910</v>
      </c>
      <c r="J488" t="str">
        <f t="shared" si="133"/>
        <v>DELIVERED</v>
      </c>
    </row>
    <row r="489" spans="1:10" x14ac:dyDescent="0.25">
      <c r="A489" t="str">
        <f t="shared" si="129"/>
        <v>0000114325</v>
      </c>
      <c r="B489" t="str">
        <f t="shared" si="130"/>
        <v>0001102646</v>
      </c>
      <c r="C489" t="str">
        <f t="shared" si="132"/>
        <v xml:space="preserve">HC      </v>
      </c>
      <c r="D489" t="str">
        <f t="shared" si="131"/>
        <v>43</v>
      </c>
      <c r="E489">
        <v>0.58099999999999996</v>
      </c>
      <c r="F489">
        <v>307</v>
      </c>
      <c r="G489" t="str">
        <f>"1031809855"</f>
        <v>1031809855</v>
      </c>
      <c r="H489" t="str">
        <f t="shared" si="128"/>
        <v>2025-12-03</v>
      </c>
      <c r="I489" t="str">
        <f>"2512038910"</f>
        <v>2512038910</v>
      </c>
      <c r="J489" t="str">
        <f t="shared" si="133"/>
        <v>DELIVERED</v>
      </c>
    </row>
    <row r="490" spans="1:10" x14ac:dyDescent="0.25">
      <c r="A490" t="str">
        <f t="shared" si="129"/>
        <v>0000114325</v>
      </c>
      <c r="B490" t="str">
        <f t="shared" si="130"/>
        <v>0001102646</v>
      </c>
      <c r="C490" t="str">
        <f t="shared" si="132"/>
        <v xml:space="preserve">HC      </v>
      </c>
      <c r="D490" t="str">
        <f t="shared" si="131"/>
        <v>43</v>
      </c>
      <c r="E490">
        <v>0.78</v>
      </c>
      <c r="F490">
        <v>1055</v>
      </c>
      <c r="G490" t="str">
        <f>"1031809860"</f>
        <v>1031809860</v>
      </c>
      <c r="H490" t="str">
        <f t="shared" si="128"/>
        <v>2025-12-03</v>
      </c>
      <c r="I490" t="str">
        <f>"2512028607"</f>
        <v>2512028607</v>
      </c>
      <c r="J490" t="str">
        <f t="shared" si="133"/>
        <v>DELIVERED</v>
      </c>
    </row>
    <row r="491" spans="1:10" x14ac:dyDescent="0.25">
      <c r="A491" t="str">
        <f t="shared" si="129"/>
        <v>0000114325</v>
      </c>
      <c r="B491" t="str">
        <f t="shared" si="130"/>
        <v>0001102646</v>
      </c>
      <c r="C491" t="str">
        <f t="shared" si="132"/>
        <v xml:space="preserve">HC      </v>
      </c>
      <c r="D491" t="str">
        <f t="shared" si="131"/>
        <v>43</v>
      </c>
      <c r="E491">
        <v>1.1120000000000001</v>
      </c>
      <c r="F491">
        <v>469</v>
      </c>
      <c r="G491" t="str">
        <f>"1031809861"</f>
        <v>1031809861</v>
      </c>
      <c r="H491" t="str">
        <f t="shared" si="128"/>
        <v>2025-12-03</v>
      </c>
      <c r="I491" t="str">
        <f>"2512028607"</f>
        <v>2512028607</v>
      </c>
      <c r="J491" t="str">
        <f t="shared" si="133"/>
        <v>DELIVERED</v>
      </c>
    </row>
    <row r="492" spans="1:10" x14ac:dyDescent="0.25">
      <c r="A492" t="str">
        <f t="shared" si="129"/>
        <v>0000114325</v>
      </c>
      <c r="B492" t="str">
        <f t="shared" si="130"/>
        <v>0001102646</v>
      </c>
      <c r="C492" t="str">
        <f t="shared" ref="C492:C497" si="134">"TR40/24 "</f>
        <v xml:space="preserve">TR40/24 </v>
      </c>
      <c r="D492" t="str">
        <f t="shared" si="131"/>
        <v>43</v>
      </c>
      <c r="E492">
        <v>1.0680000000000001</v>
      </c>
      <c r="F492">
        <v>229</v>
      </c>
      <c r="G492" t="str">
        <f>"1031814153"</f>
        <v>1031814153</v>
      </c>
      <c r="H492" t="str">
        <f t="shared" si="128"/>
        <v>2025-12-03</v>
      </c>
      <c r="I492" t="str">
        <f>"2512038913"</f>
        <v>2512038913</v>
      </c>
      <c r="J492" t="str">
        <f t="shared" si="133"/>
        <v>DELIVERED</v>
      </c>
    </row>
    <row r="493" spans="1:10" x14ac:dyDescent="0.25">
      <c r="A493" t="str">
        <f>"0000114341"</f>
        <v>0000114341</v>
      </c>
      <c r="B493" t="str">
        <f>"0001103202"</f>
        <v>0001103202</v>
      </c>
      <c r="C493" t="str">
        <f t="shared" si="134"/>
        <v xml:space="preserve">TR40/24 </v>
      </c>
      <c r="D493" t="str">
        <f>"54"</f>
        <v>54</v>
      </c>
      <c r="E493">
        <v>1.5309999999999999</v>
      </c>
      <c r="F493">
        <v>754</v>
      </c>
      <c r="G493" t="str">
        <f>"1031809008"</f>
        <v>1031809008</v>
      </c>
      <c r="H493" t="str">
        <f t="shared" si="128"/>
        <v>2025-12-03</v>
      </c>
      <c r="I493" t="str">
        <f>"2512039081"</f>
        <v>2512039081</v>
      </c>
      <c r="J493" t="str">
        <f t="shared" si="133"/>
        <v>DELIVERED</v>
      </c>
    </row>
    <row r="494" spans="1:10" x14ac:dyDescent="0.25">
      <c r="A494" t="str">
        <f>"0000114341"</f>
        <v>0000114341</v>
      </c>
      <c r="B494" t="str">
        <f>"0001103202"</f>
        <v>0001103202</v>
      </c>
      <c r="C494" t="str">
        <f t="shared" si="134"/>
        <v xml:space="preserve">TR40/24 </v>
      </c>
      <c r="D494" t="str">
        <f>"54"</f>
        <v>54</v>
      </c>
      <c r="E494">
        <v>0.59099999999999997</v>
      </c>
      <c r="F494">
        <v>345</v>
      </c>
      <c r="G494" t="str">
        <f>"1031809097"</f>
        <v>1031809097</v>
      </c>
      <c r="H494" t="str">
        <f t="shared" si="128"/>
        <v>2025-12-03</v>
      </c>
      <c r="I494" t="str">
        <f>"2512039081"</f>
        <v>2512039081</v>
      </c>
      <c r="J494" t="str">
        <f t="shared" si="133"/>
        <v>DELIVERED</v>
      </c>
    </row>
    <row r="495" spans="1:10" x14ac:dyDescent="0.25">
      <c r="A495" t="str">
        <f>"0000114392"</f>
        <v>0000114392</v>
      </c>
      <c r="B495" t="str">
        <f>"0001102592"</f>
        <v>0001102592</v>
      </c>
      <c r="C495" t="str">
        <f t="shared" si="134"/>
        <v xml:space="preserve">TR40/24 </v>
      </c>
      <c r="D495" t="str">
        <f>"01"</f>
        <v>01</v>
      </c>
      <c r="E495">
        <v>15.935</v>
      </c>
      <c r="F495">
        <v>2448</v>
      </c>
      <c r="G495" t="str">
        <f>"1031815900"</f>
        <v>1031815900</v>
      </c>
      <c r="H495" t="str">
        <f t="shared" si="128"/>
        <v>2025-12-03</v>
      </c>
      <c r="I495" t="str">
        <f>"2512038797"</f>
        <v>2512038797</v>
      </c>
      <c r="J495" t="str">
        <f t="shared" si="133"/>
        <v>DELIVERED</v>
      </c>
    </row>
    <row r="496" spans="1:10" x14ac:dyDescent="0.25">
      <c r="A496" t="str">
        <f>"0000114392"</f>
        <v>0000114392</v>
      </c>
      <c r="B496" t="str">
        <f>"0001102592"</f>
        <v>0001102592</v>
      </c>
      <c r="C496" t="str">
        <f t="shared" si="134"/>
        <v xml:space="preserve">TR40/24 </v>
      </c>
      <c r="D496" t="str">
        <f>"01"</f>
        <v>01</v>
      </c>
      <c r="E496">
        <v>609.30100000000004</v>
      </c>
      <c r="F496">
        <v>912</v>
      </c>
      <c r="G496" t="str">
        <f>"1031815901"</f>
        <v>1031815901</v>
      </c>
      <c r="H496" t="str">
        <f t="shared" ref="H496:H527" si="135">"2025-12-03"</f>
        <v>2025-12-03</v>
      </c>
      <c r="I496" t="str">
        <f>"2512038797"</f>
        <v>2512038797</v>
      </c>
      <c r="J496" t="str">
        <f t="shared" si="133"/>
        <v>DELIVERED</v>
      </c>
    </row>
    <row r="497" spans="1:10" x14ac:dyDescent="0.25">
      <c r="A497" t="str">
        <f>"0000114448"</f>
        <v>0000114448</v>
      </c>
      <c r="B497" t="str">
        <f>"0001102113"</f>
        <v>0001102113</v>
      </c>
      <c r="C497" t="str">
        <f t="shared" si="134"/>
        <v xml:space="preserve">TR40/24 </v>
      </c>
      <c r="D497" t="str">
        <f>"54"</f>
        <v>54</v>
      </c>
      <c r="E497">
        <v>6.5949999999999998</v>
      </c>
      <c r="F497">
        <v>1364</v>
      </c>
      <c r="G497" t="str">
        <f>"1031814452"</f>
        <v>1031814452</v>
      </c>
      <c r="H497" t="str">
        <f t="shared" si="135"/>
        <v>2025-12-03</v>
      </c>
      <c r="I497" t="str">
        <f>"2512039081"</f>
        <v>2512039081</v>
      </c>
      <c r="J497" t="str">
        <f t="shared" si="133"/>
        <v>DELIVERED</v>
      </c>
    </row>
    <row r="498" spans="1:10" x14ac:dyDescent="0.25">
      <c r="A498" t="str">
        <f>"0000114468"</f>
        <v>0000114468</v>
      </c>
      <c r="B498" t="str">
        <f>"0001101253"</f>
        <v>0001101253</v>
      </c>
      <c r="C498" t="str">
        <f>"LB30    "</f>
        <v xml:space="preserve">LB30    </v>
      </c>
      <c r="D498" t="str">
        <f>"68"</f>
        <v>68</v>
      </c>
      <c r="E498">
        <v>18.062000000000001</v>
      </c>
      <c r="F498">
        <v>1232</v>
      </c>
      <c r="G498" t="str">
        <f>"1031810890"</f>
        <v>1031810890</v>
      </c>
      <c r="H498" t="str">
        <f t="shared" si="135"/>
        <v>2025-12-03</v>
      </c>
      <c r="I498" t="str">
        <f>"2512038902"</f>
        <v>2512038902</v>
      </c>
      <c r="J498" t="str">
        <f t="shared" si="133"/>
        <v>DELIVERED</v>
      </c>
    </row>
    <row r="499" spans="1:10" x14ac:dyDescent="0.25">
      <c r="A499" t="str">
        <f>"0000114468"</f>
        <v>0000114468</v>
      </c>
      <c r="B499" t="str">
        <f>"0001101253"</f>
        <v>0001101253</v>
      </c>
      <c r="C499" t="str">
        <f t="shared" ref="C499:C530" si="136">"TR40/24 "</f>
        <v xml:space="preserve">TR40/24 </v>
      </c>
      <c r="D499" t="str">
        <f>"68"</f>
        <v>68</v>
      </c>
      <c r="E499">
        <v>3.7869999999999999</v>
      </c>
      <c r="F499">
        <v>478</v>
      </c>
      <c r="G499" t="str">
        <f>"1031811575"</f>
        <v>1031811575</v>
      </c>
      <c r="H499" t="str">
        <f t="shared" si="135"/>
        <v>2025-12-03</v>
      </c>
      <c r="I499" t="str">
        <f>"2512027767"</f>
        <v>2512027767</v>
      </c>
      <c r="J499" t="str">
        <f t="shared" si="133"/>
        <v>DELIVERED</v>
      </c>
    </row>
    <row r="500" spans="1:10" x14ac:dyDescent="0.25">
      <c r="A500" t="str">
        <f>"0000114468"</f>
        <v>0000114468</v>
      </c>
      <c r="B500" t="str">
        <f>"0001101253"</f>
        <v>0001101253</v>
      </c>
      <c r="C500" t="str">
        <f t="shared" si="136"/>
        <v xml:space="preserve">TR40/24 </v>
      </c>
      <c r="D500" t="str">
        <f>"68"</f>
        <v>68</v>
      </c>
      <c r="E500">
        <v>9.3490000000000002</v>
      </c>
      <c r="F500">
        <v>1614</v>
      </c>
      <c r="G500" t="str">
        <f>"1031811576"</f>
        <v>1031811576</v>
      </c>
      <c r="H500" t="str">
        <f t="shared" si="135"/>
        <v>2025-12-03</v>
      </c>
      <c r="I500" t="str">
        <f>"2512027767"</f>
        <v>2512027767</v>
      </c>
      <c r="J500" t="str">
        <f t="shared" si="133"/>
        <v>DELIVERED</v>
      </c>
    </row>
    <row r="501" spans="1:10" x14ac:dyDescent="0.25">
      <c r="A501" t="str">
        <f>"0000114468"</f>
        <v>0000114468</v>
      </c>
      <c r="B501" t="str">
        <f>"0001101253"</f>
        <v>0001101253</v>
      </c>
      <c r="C501" t="str">
        <f t="shared" si="136"/>
        <v xml:space="preserve">TR40/24 </v>
      </c>
      <c r="D501" t="str">
        <f>"68"</f>
        <v>68</v>
      </c>
      <c r="E501">
        <v>4.1020000000000003</v>
      </c>
      <c r="F501">
        <v>288</v>
      </c>
      <c r="G501" t="str">
        <f>"1031813685"</f>
        <v>1031813685</v>
      </c>
      <c r="H501" t="str">
        <f t="shared" si="135"/>
        <v>2025-12-03</v>
      </c>
      <c r="I501" t="str">
        <f>"2512038902"</f>
        <v>2512038902</v>
      </c>
      <c r="J501" t="str">
        <f t="shared" si="133"/>
        <v>DELIVERED</v>
      </c>
    </row>
    <row r="502" spans="1:10" x14ac:dyDescent="0.25">
      <c r="A502" t="str">
        <f>"0000114468"</f>
        <v>0000114468</v>
      </c>
      <c r="B502" t="str">
        <f>"0001101253"</f>
        <v>0001101253</v>
      </c>
      <c r="C502" t="str">
        <f t="shared" si="136"/>
        <v xml:space="preserve">TR40/24 </v>
      </c>
      <c r="D502" t="str">
        <f>"68"</f>
        <v>68</v>
      </c>
      <c r="E502">
        <v>4.1020000000000003</v>
      </c>
      <c r="F502">
        <v>288</v>
      </c>
      <c r="G502" t="str">
        <f>"1031813687"</f>
        <v>1031813687</v>
      </c>
      <c r="H502" t="str">
        <f t="shared" si="135"/>
        <v>2025-12-03</v>
      </c>
      <c r="I502" t="str">
        <f>"2512027767"</f>
        <v>2512027767</v>
      </c>
      <c r="J502" t="str">
        <f t="shared" si="133"/>
        <v>DELIVERED</v>
      </c>
    </row>
    <row r="503" spans="1:10" x14ac:dyDescent="0.25">
      <c r="A503" t="str">
        <f>"0000114491"</f>
        <v>0000114491</v>
      </c>
      <c r="B503" t="str">
        <f t="shared" ref="B503:B511" si="137">"0001101706"</f>
        <v>0001101706</v>
      </c>
      <c r="C503" t="str">
        <f t="shared" si="136"/>
        <v xml:space="preserve">TR40/24 </v>
      </c>
      <c r="D503" t="str">
        <f>"49"</f>
        <v>49</v>
      </c>
      <c r="E503">
        <v>11.882999999999999</v>
      </c>
      <c r="F503">
        <v>2186</v>
      </c>
      <c r="G503" t="str">
        <f>"1031814346"</f>
        <v>1031814346</v>
      </c>
      <c r="H503" t="str">
        <f t="shared" si="135"/>
        <v>2025-12-03</v>
      </c>
      <c r="I503" t="str">
        <f>"2512027449"</f>
        <v>2512027449</v>
      </c>
      <c r="J503" t="str">
        <f t="shared" si="133"/>
        <v>DELIVERED</v>
      </c>
    </row>
    <row r="504" spans="1:10" x14ac:dyDescent="0.25">
      <c r="A504" t="str">
        <f t="shared" ref="A504:A511" si="138">"0000114492"</f>
        <v>0000114492</v>
      </c>
      <c r="B504" t="str">
        <f t="shared" si="137"/>
        <v>0001101706</v>
      </c>
      <c r="C504" t="str">
        <f t="shared" si="136"/>
        <v xml:space="preserve">TR40/24 </v>
      </c>
      <c r="D504" t="str">
        <f t="shared" ref="D504:D511" si="139">"56"</f>
        <v>56</v>
      </c>
      <c r="E504">
        <v>14.933</v>
      </c>
      <c r="F504">
        <v>2935</v>
      </c>
      <c r="G504" t="str">
        <f>"1031815735"</f>
        <v>1031815735</v>
      </c>
      <c r="H504" t="str">
        <f t="shared" si="135"/>
        <v>2025-12-03</v>
      </c>
      <c r="I504" t="str">
        <f>"2512038817"</f>
        <v>2512038817</v>
      </c>
      <c r="J504" t="str">
        <f t="shared" si="133"/>
        <v>DELIVERED</v>
      </c>
    </row>
    <row r="505" spans="1:10" x14ac:dyDescent="0.25">
      <c r="A505" t="str">
        <f t="shared" si="138"/>
        <v>0000114492</v>
      </c>
      <c r="B505" t="str">
        <f t="shared" si="137"/>
        <v>0001101706</v>
      </c>
      <c r="C505" t="str">
        <f t="shared" si="136"/>
        <v xml:space="preserve">TR40/24 </v>
      </c>
      <c r="D505" t="str">
        <f t="shared" si="139"/>
        <v>56</v>
      </c>
      <c r="E505">
        <v>12.557</v>
      </c>
      <c r="F505">
        <v>2057</v>
      </c>
      <c r="G505" t="str">
        <f>"1031815736"</f>
        <v>1031815736</v>
      </c>
      <c r="H505" t="str">
        <f t="shared" si="135"/>
        <v>2025-12-03</v>
      </c>
      <c r="I505" t="str">
        <f t="shared" ref="I505:I511" si="140">"2512028577"</f>
        <v>2512028577</v>
      </c>
      <c r="J505" t="str">
        <f t="shared" si="133"/>
        <v>DELIVERED</v>
      </c>
    </row>
    <row r="506" spans="1:10" x14ac:dyDescent="0.25">
      <c r="A506" t="str">
        <f t="shared" si="138"/>
        <v>0000114492</v>
      </c>
      <c r="B506" t="str">
        <f t="shared" si="137"/>
        <v>0001101706</v>
      </c>
      <c r="C506" t="str">
        <f t="shared" si="136"/>
        <v xml:space="preserve">TR40/24 </v>
      </c>
      <c r="D506" t="str">
        <f t="shared" si="139"/>
        <v>56</v>
      </c>
      <c r="E506">
        <v>0.26</v>
      </c>
      <c r="F506">
        <v>6</v>
      </c>
      <c r="G506" t="str">
        <f>"1031815737"</f>
        <v>1031815737</v>
      </c>
      <c r="H506" t="str">
        <f t="shared" si="135"/>
        <v>2025-12-03</v>
      </c>
      <c r="I506" t="str">
        <f t="shared" si="140"/>
        <v>2512028577</v>
      </c>
      <c r="J506" t="str">
        <f t="shared" si="133"/>
        <v>DELIVERED</v>
      </c>
    </row>
    <row r="507" spans="1:10" x14ac:dyDescent="0.25">
      <c r="A507" t="str">
        <f t="shared" si="138"/>
        <v>0000114492</v>
      </c>
      <c r="B507" t="str">
        <f t="shared" si="137"/>
        <v>0001101706</v>
      </c>
      <c r="C507" t="str">
        <f t="shared" si="136"/>
        <v xml:space="preserve">TR40/24 </v>
      </c>
      <c r="D507" t="str">
        <f t="shared" si="139"/>
        <v>56</v>
      </c>
      <c r="E507">
        <v>6.2E-2</v>
      </c>
      <c r="F507">
        <v>6</v>
      </c>
      <c r="G507" t="str">
        <f>"1031815738"</f>
        <v>1031815738</v>
      </c>
      <c r="H507" t="str">
        <f t="shared" si="135"/>
        <v>2025-12-03</v>
      </c>
      <c r="I507" t="str">
        <f t="shared" si="140"/>
        <v>2512028577</v>
      </c>
      <c r="J507" t="str">
        <f t="shared" si="133"/>
        <v>DELIVERED</v>
      </c>
    </row>
    <row r="508" spans="1:10" x14ac:dyDescent="0.25">
      <c r="A508" t="str">
        <f t="shared" si="138"/>
        <v>0000114492</v>
      </c>
      <c r="B508" t="str">
        <f t="shared" si="137"/>
        <v>0001101706</v>
      </c>
      <c r="C508" t="str">
        <f t="shared" si="136"/>
        <v xml:space="preserve">TR40/24 </v>
      </c>
      <c r="D508" t="str">
        <f t="shared" si="139"/>
        <v>56</v>
      </c>
      <c r="E508">
        <v>0.24399999999999999</v>
      </c>
      <c r="F508">
        <v>6</v>
      </c>
      <c r="G508" t="str">
        <f>"1031815739"</f>
        <v>1031815739</v>
      </c>
      <c r="H508" t="str">
        <f t="shared" si="135"/>
        <v>2025-12-03</v>
      </c>
      <c r="I508" t="str">
        <f t="shared" si="140"/>
        <v>2512028577</v>
      </c>
      <c r="J508" t="str">
        <f t="shared" si="133"/>
        <v>DELIVERED</v>
      </c>
    </row>
    <row r="509" spans="1:10" x14ac:dyDescent="0.25">
      <c r="A509" t="str">
        <f t="shared" si="138"/>
        <v>0000114492</v>
      </c>
      <c r="B509" t="str">
        <f t="shared" si="137"/>
        <v>0001101706</v>
      </c>
      <c r="C509" t="str">
        <f t="shared" si="136"/>
        <v xml:space="preserve">TR40/24 </v>
      </c>
      <c r="D509" t="str">
        <f t="shared" si="139"/>
        <v>56</v>
      </c>
      <c r="E509">
        <v>6.7000000000000004E-2</v>
      </c>
      <c r="F509">
        <v>6</v>
      </c>
      <c r="G509" t="str">
        <f>"1031815740"</f>
        <v>1031815740</v>
      </c>
      <c r="H509" t="str">
        <f t="shared" si="135"/>
        <v>2025-12-03</v>
      </c>
      <c r="I509" t="str">
        <f t="shared" si="140"/>
        <v>2512028577</v>
      </c>
      <c r="J509" t="str">
        <f t="shared" si="133"/>
        <v>DELIVERED</v>
      </c>
    </row>
    <row r="510" spans="1:10" x14ac:dyDescent="0.25">
      <c r="A510" t="str">
        <f t="shared" si="138"/>
        <v>0000114492</v>
      </c>
      <c r="B510" t="str">
        <f t="shared" si="137"/>
        <v>0001101706</v>
      </c>
      <c r="C510" t="str">
        <f t="shared" si="136"/>
        <v xml:space="preserve">TR40/24 </v>
      </c>
      <c r="D510" t="str">
        <f t="shared" si="139"/>
        <v>56</v>
      </c>
      <c r="E510">
        <v>0.17899999999999999</v>
      </c>
      <c r="F510">
        <v>6</v>
      </c>
      <c r="G510" t="str">
        <f>"1031815741"</f>
        <v>1031815741</v>
      </c>
      <c r="H510" t="str">
        <f t="shared" si="135"/>
        <v>2025-12-03</v>
      </c>
      <c r="I510" t="str">
        <f t="shared" si="140"/>
        <v>2512028577</v>
      </c>
      <c r="J510" t="str">
        <f t="shared" si="133"/>
        <v>DELIVERED</v>
      </c>
    </row>
    <row r="511" spans="1:10" x14ac:dyDescent="0.25">
      <c r="A511" t="str">
        <f t="shared" si="138"/>
        <v>0000114492</v>
      </c>
      <c r="B511" t="str">
        <f t="shared" si="137"/>
        <v>0001101706</v>
      </c>
      <c r="C511" t="str">
        <f t="shared" si="136"/>
        <v xml:space="preserve">TR40/24 </v>
      </c>
      <c r="D511" t="str">
        <f t="shared" si="139"/>
        <v>56</v>
      </c>
      <c r="E511">
        <v>6.3E-2</v>
      </c>
      <c r="F511">
        <v>6</v>
      </c>
      <c r="G511" t="str">
        <f>"1031815742"</f>
        <v>1031815742</v>
      </c>
      <c r="H511" t="str">
        <f t="shared" si="135"/>
        <v>2025-12-03</v>
      </c>
      <c r="I511" t="str">
        <f t="shared" si="140"/>
        <v>2512028577</v>
      </c>
      <c r="J511" t="str">
        <f t="shared" si="133"/>
        <v>DELIVERED</v>
      </c>
    </row>
    <row r="512" spans="1:10" x14ac:dyDescent="0.25">
      <c r="A512" t="str">
        <f t="shared" ref="A512:A522" si="141">"0000114500"</f>
        <v>0000114500</v>
      </c>
      <c r="B512" t="str">
        <f t="shared" ref="B512:B523" si="142">"0001101203"</f>
        <v>0001101203</v>
      </c>
      <c r="C512" t="str">
        <f t="shared" si="136"/>
        <v xml:space="preserve">TR40/24 </v>
      </c>
      <c r="D512" t="str">
        <f t="shared" ref="D512:D522" si="143">"80"</f>
        <v>80</v>
      </c>
      <c r="E512">
        <v>8.1170000000000009</v>
      </c>
      <c r="F512">
        <v>3400</v>
      </c>
      <c r="G512" t="str">
        <f>"1031813396"</f>
        <v>1031813396</v>
      </c>
      <c r="H512" t="str">
        <f t="shared" si="135"/>
        <v>2025-12-03</v>
      </c>
      <c r="I512" t="str">
        <f>"2512038911"</f>
        <v>2512038911</v>
      </c>
      <c r="J512" t="str">
        <f t="shared" si="133"/>
        <v>DELIVERED</v>
      </c>
    </row>
    <row r="513" spans="1:10" x14ac:dyDescent="0.25">
      <c r="A513" t="str">
        <f t="shared" si="141"/>
        <v>0000114500</v>
      </c>
      <c r="B513" t="str">
        <f t="shared" si="142"/>
        <v>0001101203</v>
      </c>
      <c r="C513" t="str">
        <f t="shared" si="136"/>
        <v xml:space="preserve">TR40/24 </v>
      </c>
      <c r="D513" t="str">
        <f t="shared" si="143"/>
        <v>80</v>
      </c>
      <c r="E513">
        <v>8.7059999999999995</v>
      </c>
      <c r="F513">
        <v>3993</v>
      </c>
      <c r="G513" t="str">
        <f>"1031813397"</f>
        <v>1031813397</v>
      </c>
      <c r="H513" t="str">
        <f t="shared" si="135"/>
        <v>2025-12-03</v>
      </c>
      <c r="I513" t="str">
        <f>"2512028617"</f>
        <v>2512028617</v>
      </c>
      <c r="J513" t="str">
        <f t="shared" si="133"/>
        <v>DELIVERED</v>
      </c>
    </row>
    <row r="514" spans="1:10" x14ac:dyDescent="0.25">
      <c r="A514" t="str">
        <f t="shared" si="141"/>
        <v>0000114500</v>
      </c>
      <c r="B514" t="str">
        <f t="shared" si="142"/>
        <v>0001101203</v>
      </c>
      <c r="C514" t="str">
        <f t="shared" si="136"/>
        <v xml:space="preserve">TR40/24 </v>
      </c>
      <c r="D514" t="str">
        <f t="shared" si="143"/>
        <v>80</v>
      </c>
      <c r="E514">
        <v>5.0030000000000001</v>
      </c>
      <c r="F514">
        <v>2647</v>
      </c>
      <c r="G514" t="str">
        <f>"1031813400"</f>
        <v>1031813400</v>
      </c>
      <c r="H514" t="str">
        <f t="shared" si="135"/>
        <v>2025-12-03</v>
      </c>
      <c r="I514" t="str">
        <f>"2512038911"</f>
        <v>2512038911</v>
      </c>
      <c r="J514" t="str">
        <f t="shared" si="133"/>
        <v>DELIVERED</v>
      </c>
    </row>
    <row r="515" spans="1:10" x14ac:dyDescent="0.25">
      <c r="A515" t="str">
        <f t="shared" si="141"/>
        <v>0000114500</v>
      </c>
      <c r="B515" t="str">
        <f t="shared" si="142"/>
        <v>0001101203</v>
      </c>
      <c r="C515" t="str">
        <f t="shared" si="136"/>
        <v xml:space="preserve">TR40/24 </v>
      </c>
      <c r="D515" t="str">
        <f t="shared" si="143"/>
        <v>80</v>
      </c>
      <c r="E515">
        <v>8.1170000000000009</v>
      </c>
      <c r="F515">
        <v>3400</v>
      </c>
      <c r="G515" t="str">
        <f>"1031813414"</f>
        <v>1031813414</v>
      </c>
      <c r="H515" t="str">
        <f t="shared" si="135"/>
        <v>2025-12-03</v>
      </c>
      <c r="I515" t="str">
        <f>"2512028617"</f>
        <v>2512028617</v>
      </c>
      <c r="J515" t="str">
        <f t="shared" si="133"/>
        <v>DELIVERED</v>
      </c>
    </row>
    <row r="516" spans="1:10" x14ac:dyDescent="0.25">
      <c r="A516" t="str">
        <f t="shared" si="141"/>
        <v>0000114500</v>
      </c>
      <c r="B516" t="str">
        <f t="shared" si="142"/>
        <v>0001101203</v>
      </c>
      <c r="C516" t="str">
        <f t="shared" si="136"/>
        <v xml:space="preserve">TR40/24 </v>
      </c>
      <c r="D516" t="str">
        <f t="shared" si="143"/>
        <v>80</v>
      </c>
      <c r="E516">
        <v>9.1669999999999998</v>
      </c>
      <c r="F516">
        <v>3853</v>
      </c>
      <c r="G516" t="str">
        <f>"1031813434"</f>
        <v>1031813434</v>
      </c>
      <c r="H516" t="str">
        <f t="shared" si="135"/>
        <v>2025-12-03</v>
      </c>
      <c r="I516" t="str">
        <f>"2512038911"</f>
        <v>2512038911</v>
      </c>
      <c r="J516" t="str">
        <f t="shared" si="133"/>
        <v>DELIVERED</v>
      </c>
    </row>
    <row r="517" spans="1:10" x14ac:dyDescent="0.25">
      <c r="A517" t="str">
        <f t="shared" si="141"/>
        <v>0000114500</v>
      </c>
      <c r="B517" t="str">
        <f t="shared" si="142"/>
        <v>0001101203</v>
      </c>
      <c r="C517" t="str">
        <f t="shared" si="136"/>
        <v xml:space="preserve">TR40/24 </v>
      </c>
      <c r="D517" t="str">
        <f t="shared" si="143"/>
        <v>80</v>
      </c>
      <c r="E517">
        <v>3.117</v>
      </c>
      <c r="F517">
        <v>1290</v>
      </c>
      <c r="G517" t="str">
        <f>"1031815049"</f>
        <v>1031815049</v>
      </c>
      <c r="H517" t="str">
        <f t="shared" si="135"/>
        <v>2025-12-03</v>
      </c>
      <c r="I517" t="str">
        <f>"2512028592"</f>
        <v>2512028592</v>
      </c>
      <c r="J517" t="str">
        <f t="shared" si="133"/>
        <v>DELIVERED</v>
      </c>
    </row>
    <row r="518" spans="1:10" x14ac:dyDescent="0.25">
      <c r="A518" t="str">
        <f t="shared" si="141"/>
        <v>0000114500</v>
      </c>
      <c r="B518" t="str">
        <f t="shared" si="142"/>
        <v>0001101203</v>
      </c>
      <c r="C518" t="str">
        <f t="shared" si="136"/>
        <v xml:space="preserve">TR40/24 </v>
      </c>
      <c r="D518" t="str">
        <f t="shared" si="143"/>
        <v>80</v>
      </c>
      <c r="E518">
        <v>3.1030000000000002</v>
      </c>
      <c r="F518">
        <v>723</v>
      </c>
      <c r="G518" t="str">
        <f>"1031815050"</f>
        <v>1031815050</v>
      </c>
      <c r="H518" t="str">
        <f t="shared" si="135"/>
        <v>2025-12-03</v>
      </c>
      <c r="I518" t="str">
        <f>"2512028592"</f>
        <v>2512028592</v>
      </c>
      <c r="J518" t="str">
        <f t="shared" si="133"/>
        <v>DELIVERED</v>
      </c>
    </row>
    <row r="519" spans="1:10" x14ac:dyDescent="0.25">
      <c r="A519" t="str">
        <f t="shared" si="141"/>
        <v>0000114500</v>
      </c>
      <c r="B519" t="str">
        <f t="shared" si="142"/>
        <v>0001101203</v>
      </c>
      <c r="C519" t="str">
        <f t="shared" si="136"/>
        <v xml:space="preserve">TR40/24 </v>
      </c>
      <c r="D519" t="str">
        <f t="shared" si="143"/>
        <v>80</v>
      </c>
      <c r="E519">
        <v>2.024</v>
      </c>
      <c r="F519">
        <v>727</v>
      </c>
      <c r="G519" t="str">
        <f>"1031815058"</f>
        <v>1031815058</v>
      </c>
      <c r="H519" t="str">
        <f t="shared" si="135"/>
        <v>2025-12-03</v>
      </c>
      <c r="I519" t="str">
        <f>"2512028592"</f>
        <v>2512028592</v>
      </c>
      <c r="J519" t="str">
        <f t="shared" ref="J519:J550" si="144">"DELIVERED"</f>
        <v>DELIVERED</v>
      </c>
    </row>
    <row r="520" spans="1:10" x14ac:dyDescent="0.25">
      <c r="A520" t="str">
        <f t="shared" si="141"/>
        <v>0000114500</v>
      </c>
      <c r="B520" t="str">
        <f t="shared" si="142"/>
        <v>0001101203</v>
      </c>
      <c r="C520" t="str">
        <f t="shared" si="136"/>
        <v xml:space="preserve">TR40/24 </v>
      </c>
      <c r="D520" t="str">
        <f t="shared" si="143"/>
        <v>80</v>
      </c>
      <c r="E520">
        <v>2.298</v>
      </c>
      <c r="F520">
        <v>648</v>
      </c>
      <c r="G520" t="str">
        <f>"1031815059"</f>
        <v>1031815059</v>
      </c>
      <c r="H520" t="str">
        <f t="shared" si="135"/>
        <v>2025-12-03</v>
      </c>
      <c r="I520" t="str">
        <f>"2512028592"</f>
        <v>2512028592</v>
      </c>
      <c r="J520" t="str">
        <f t="shared" si="144"/>
        <v>DELIVERED</v>
      </c>
    </row>
    <row r="521" spans="1:10" x14ac:dyDescent="0.25">
      <c r="A521" t="str">
        <f t="shared" si="141"/>
        <v>0000114500</v>
      </c>
      <c r="B521" t="str">
        <f t="shared" si="142"/>
        <v>0001101203</v>
      </c>
      <c r="C521" t="str">
        <f t="shared" si="136"/>
        <v xml:space="preserve">TR40/24 </v>
      </c>
      <c r="D521" t="str">
        <f t="shared" si="143"/>
        <v>80</v>
      </c>
      <c r="E521">
        <v>3.4020000000000001</v>
      </c>
      <c r="F521">
        <v>2874</v>
      </c>
      <c r="G521" t="str">
        <f>"1031815062"</f>
        <v>1031815062</v>
      </c>
      <c r="H521" t="str">
        <f t="shared" si="135"/>
        <v>2025-12-03</v>
      </c>
      <c r="I521" t="str">
        <f>"2512028592"</f>
        <v>2512028592</v>
      </c>
      <c r="J521" t="str">
        <f t="shared" si="144"/>
        <v>DELIVERED</v>
      </c>
    </row>
    <row r="522" spans="1:10" x14ac:dyDescent="0.25">
      <c r="A522" t="str">
        <f t="shared" si="141"/>
        <v>0000114500</v>
      </c>
      <c r="B522" t="str">
        <f t="shared" si="142"/>
        <v>0001101203</v>
      </c>
      <c r="C522" t="str">
        <f t="shared" si="136"/>
        <v xml:space="preserve">TR40/24 </v>
      </c>
      <c r="D522" t="str">
        <f t="shared" si="143"/>
        <v>80</v>
      </c>
      <c r="E522">
        <v>8.9559999999999995</v>
      </c>
      <c r="F522">
        <v>2927</v>
      </c>
      <c r="G522" t="str">
        <f>"1031815669"</f>
        <v>1031815669</v>
      </c>
      <c r="H522" t="str">
        <f t="shared" si="135"/>
        <v>2025-12-03</v>
      </c>
      <c r="I522" t="str">
        <f>"2512028617"</f>
        <v>2512028617</v>
      </c>
      <c r="J522" t="str">
        <f t="shared" si="144"/>
        <v>DELIVERED</v>
      </c>
    </row>
    <row r="523" spans="1:10" x14ac:dyDescent="0.25">
      <c r="A523" t="str">
        <f>"0000114501"</f>
        <v>0000114501</v>
      </c>
      <c r="B523" t="str">
        <f t="shared" si="142"/>
        <v>0001101203</v>
      </c>
      <c r="C523" t="str">
        <f t="shared" si="136"/>
        <v xml:space="preserve">TR40/24 </v>
      </c>
      <c r="D523" t="str">
        <f>"58"</f>
        <v>58</v>
      </c>
      <c r="E523">
        <v>20.103000000000002</v>
      </c>
      <c r="F523">
        <v>398</v>
      </c>
      <c r="G523" t="str">
        <f>"1031815197"</f>
        <v>1031815197</v>
      </c>
      <c r="H523" t="str">
        <f t="shared" si="135"/>
        <v>2025-12-03</v>
      </c>
      <c r="I523" t="str">
        <f>"2512028604"</f>
        <v>2512028604</v>
      </c>
      <c r="J523" t="str">
        <f t="shared" si="144"/>
        <v>DELIVERED</v>
      </c>
    </row>
    <row r="524" spans="1:10" x14ac:dyDescent="0.25">
      <c r="A524" t="str">
        <f>"0000114512"</f>
        <v>0000114512</v>
      </c>
      <c r="B524" t="str">
        <f>"0001102757"</f>
        <v>0001102757</v>
      </c>
      <c r="C524" t="str">
        <f t="shared" si="136"/>
        <v xml:space="preserve">TR40/24 </v>
      </c>
      <c r="D524" t="str">
        <f>"12"</f>
        <v>12</v>
      </c>
      <c r="E524">
        <v>15.221</v>
      </c>
      <c r="F524">
        <v>2502</v>
      </c>
      <c r="G524" t="str">
        <f>"1031815731"</f>
        <v>1031815731</v>
      </c>
      <c r="H524" t="str">
        <f t="shared" si="135"/>
        <v>2025-12-03</v>
      </c>
      <c r="I524" t="str">
        <f>"2512028603"</f>
        <v>2512028603</v>
      </c>
      <c r="J524" t="str">
        <f t="shared" si="144"/>
        <v>DELIVERED</v>
      </c>
    </row>
    <row r="525" spans="1:10" x14ac:dyDescent="0.25">
      <c r="A525" t="str">
        <f>"0000114521"</f>
        <v>0000114521</v>
      </c>
      <c r="B525" t="str">
        <f>"0001101186"</f>
        <v>0001101186</v>
      </c>
      <c r="C525" t="str">
        <f t="shared" si="136"/>
        <v xml:space="preserve">TR40/24 </v>
      </c>
      <c r="D525" t="str">
        <f>"11"</f>
        <v>11</v>
      </c>
      <c r="E525">
        <v>0.23899999999999999</v>
      </c>
      <c r="F525">
        <v>138</v>
      </c>
      <c r="G525" t="str">
        <f>"1031815000"</f>
        <v>1031815000</v>
      </c>
      <c r="H525" t="str">
        <f t="shared" si="135"/>
        <v>2025-12-03</v>
      </c>
      <c r="I525" t="str">
        <f>"2512039247"</f>
        <v>2512039247</v>
      </c>
      <c r="J525" t="str">
        <f t="shared" si="144"/>
        <v>DELIVERED</v>
      </c>
    </row>
    <row r="526" spans="1:10" x14ac:dyDescent="0.25">
      <c r="A526" t="str">
        <f>"0000114552"</f>
        <v>0000114552</v>
      </c>
      <c r="B526" t="str">
        <f>"0001102671"</f>
        <v>0001102671</v>
      </c>
      <c r="C526" t="str">
        <f t="shared" si="136"/>
        <v xml:space="preserve">TR40/24 </v>
      </c>
      <c r="D526" t="str">
        <f>"56"</f>
        <v>56</v>
      </c>
      <c r="E526">
        <v>17.317</v>
      </c>
      <c r="F526">
        <v>792</v>
      </c>
      <c r="G526" t="str">
        <f>"1031813311"</f>
        <v>1031813311</v>
      </c>
      <c r="H526" t="str">
        <f t="shared" si="135"/>
        <v>2025-12-03</v>
      </c>
      <c r="I526" t="str">
        <f>"2512038811"</f>
        <v>2512038811</v>
      </c>
      <c r="J526" t="str">
        <f t="shared" si="144"/>
        <v>DELIVERED</v>
      </c>
    </row>
    <row r="527" spans="1:10" x14ac:dyDescent="0.25">
      <c r="A527" t="str">
        <f t="shared" ref="A527:A533" si="145">"0000114559"</f>
        <v>0000114559</v>
      </c>
      <c r="B527" t="str">
        <f t="shared" ref="B527:B533" si="146">"0001101672"</f>
        <v>0001101672</v>
      </c>
      <c r="C527" t="str">
        <f t="shared" si="136"/>
        <v xml:space="preserve">TR40/24 </v>
      </c>
      <c r="D527" t="str">
        <f t="shared" ref="D527:D533" si="147">"64"</f>
        <v>64</v>
      </c>
      <c r="E527">
        <v>20.667999999999999</v>
      </c>
      <c r="F527">
        <v>2355</v>
      </c>
      <c r="G527" t="str">
        <f>"1031816534"</f>
        <v>1031816534</v>
      </c>
      <c r="H527" t="str">
        <f t="shared" si="135"/>
        <v>2025-12-03</v>
      </c>
      <c r="I527" t="str">
        <f>"2512038752"</f>
        <v>2512038752</v>
      </c>
      <c r="J527" t="str">
        <f t="shared" si="144"/>
        <v>DELIVERED</v>
      </c>
    </row>
    <row r="528" spans="1:10" x14ac:dyDescent="0.25">
      <c r="A528" t="str">
        <f t="shared" si="145"/>
        <v>0000114559</v>
      </c>
      <c r="B528" t="str">
        <f t="shared" si="146"/>
        <v>0001101672</v>
      </c>
      <c r="C528" t="str">
        <f t="shared" si="136"/>
        <v xml:space="preserve">TR40/24 </v>
      </c>
      <c r="D528" t="str">
        <f t="shared" si="147"/>
        <v>64</v>
      </c>
      <c r="E528">
        <v>0.374</v>
      </c>
      <c r="F528">
        <v>6</v>
      </c>
      <c r="G528" t="str">
        <f>"1031816535"</f>
        <v>1031816535</v>
      </c>
      <c r="H528" t="str">
        <f t="shared" ref="H528:H559" si="148">"2025-12-03"</f>
        <v>2025-12-03</v>
      </c>
      <c r="I528" t="str">
        <f>"2512038752"</f>
        <v>2512038752</v>
      </c>
      <c r="J528" t="str">
        <f t="shared" si="144"/>
        <v>DELIVERED</v>
      </c>
    </row>
    <row r="529" spans="1:10" x14ac:dyDescent="0.25">
      <c r="A529" t="str">
        <f t="shared" si="145"/>
        <v>0000114559</v>
      </c>
      <c r="B529" t="str">
        <f t="shared" si="146"/>
        <v>0001101672</v>
      </c>
      <c r="C529" t="str">
        <f t="shared" si="136"/>
        <v xml:space="preserve">TR40/24 </v>
      </c>
      <c r="D529" t="str">
        <f t="shared" si="147"/>
        <v>64</v>
      </c>
      <c r="E529">
        <v>0.36299999999999999</v>
      </c>
      <c r="F529">
        <v>6</v>
      </c>
      <c r="G529" t="str">
        <f>"1031816536"</f>
        <v>1031816536</v>
      </c>
      <c r="H529" t="str">
        <f t="shared" si="148"/>
        <v>2025-12-03</v>
      </c>
      <c r="I529" t="str">
        <f>"2512038752"</f>
        <v>2512038752</v>
      </c>
      <c r="J529" t="str">
        <f t="shared" si="144"/>
        <v>DELIVERED</v>
      </c>
    </row>
    <row r="530" spans="1:10" x14ac:dyDescent="0.25">
      <c r="A530" t="str">
        <f t="shared" si="145"/>
        <v>0000114559</v>
      </c>
      <c r="B530" t="str">
        <f t="shared" si="146"/>
        <v>0001101672</v>
      </c>
      <c r="C530" t="str">
        <f t="shared" si="136"/>
        <v xml:space="preserve">TR40/24 </v>
      </c>
      <c r="D530" t="str">
        <f t="shared" si="147"/>
        <v>64</v>
      </c>
      <c r="E530">
        <v>0.71</v>
      </c>
      <c r="F530">
        <v>347</v>
      </c>
      <c r="G530" t="str">
        <f>"1031816622"</f>
        <v>1031816622</v>
      </c>
      <c r="H530" t="str">
        <f t="shared" si="148"/>
        <v>2025-12-03</v>
      </c>
      <c r="I530" t="str">
        <f>"2512038752"</f>
        <v>2512038752</v>
      </c>
      <c r="J530" t="str">
        <f t="shared" si="144"/>
        <v>DELIVERED</v>
      </c>
    </row>
    <row r="531" spans="1:10" x14ac:dyDescent="0.25">
      <c r="A531" t="str">
        <f t="shared" si="145"/>
        <v>0000114559</v>
      </c>
      <c r="B531" t="str">
        <f t="shared" si="146"/>
        <v>0001101672</v>
      </c>
      <c r="C531" t="str">
        <f t="shared" ref="C531:C562" si="149">"TR40/24 "</f>
        <v xml:space="preserve">TR40/24 </v>
      </c>
      <c r="D531" t="str">
        <f t="shared" si="147"/>
        <v>64</v>
      </c>
      <c r="E531">
        <v>1.5249999999999999</v>
      </c>
      <c r="F531">
        <v>669</v>
      </c>
      <c r="G531" t="str">
        <f>"1031816623"</f>
        <v>1031816623</v>
      </c>
      <c r="H531" t="str">
        <f t="shared" si="148"/>
        <v>2025-12-03</v>
      </c>
      <c r="I531" t="str">
        <f>"2512038752"</f>
        <v>2512038752</v>
      </c>
      <c r="J531" t="str">
        <f t="shared" si="144"/>
        <v>DELIVERED</v>
      </c>
    </row>
    <row r="532" spans="1:10" x14ac:dyDescent="0.25">
      <c r="A532" t="str">
        <f t="shared" si="145"/>
        <v>0000114559</v>
      </c>
      <c r="B532" t="str">
        <f t="shared" si="146"/>
        <v>0001101672</v>
      </c>
      <c r="C532" t="str">
        <f t="shared" si="149"/>
        <v xml:space="preserve">TR40/24 </v>
      </c>
      <c r="D532" t="str">
        <f t="shared" si="147"/>
        <v>64</v>
      </c>
      <c r="E532">
        <v>3.4889999999999999</v>
      </c>
      <c r="F532">
        <v>922</v>
      </c>
      <c r="G532" t="str">
        <f>"1031816746"</f>
        <v>1031816746</v>
      </c>
      <c r="H532" t="str">
        <f t="shared" si="148"/>
        <v>2025-12-03</v>
      </c>
      <c r="I532" t="str">
        <f>"2512038800"</f>
        <v>2512038800</v>
      </c>
      <c r="J532" t="str">
        <f t="shared" si="144"/>
        <v>DELIVERED</v>
      </c>
    </row>
    <row r="533" spans="1:10" x14ac:dyDescent="0.25">
      <c r="A533" t="str">
        <f t="shared" si="145"/>
        <v>0000114559</v>
      </c>
      <c r="B533" t="str">
        <f t="shared" si="146"/>
        <v>0001101672</v>
      </c>
      <c r="C533" t="str">
        <f t="shared" si="149"/>
        <v xml:space="preserve">TR40/24 </v>
      </c>
      <c r="D533" t="str">
        <f t="shared" si="147"/>
        <v>64</v>
      </c>
      <c r="E533">
        <v>1.8320000000000001</v>
      </c>
      <c r="F533">
        <v>721</v>
      </c>
      <c r="G533" t="str">
        <f>"1031816770"</f>
        <v>1031816770</v>
      </c>
      <c r="H533" t="str">
        <f t="shared" si="148"/>
        <v>2025-12-03</v>
      </c>
      <c r="I533" t="str">
        <f>"2512038800"</f>
        <v>2512038800</v>
      </c>
      <c r="J533" t="str">
        <f t="shared" si="144"/>
        <v>DELIVERED</v>
      </c>
    </row>
    <row r="534" spans="1:10" x14ac:dyDescent="0.25">
      <c r="A534" t="str">
        <f>"0000114563"</f>
        <v>0000114563</v>
      </c>
      <c r="B534" t="str">
        <f>"0001104592"</f>
        <v>0001104592</v>
      </c>
      <c r="C534" t="str">
        <f t="shared" si="149"/>
        <v xml:space="preserve">TR40/24 </v>
      </c>
      <c r="D534" t="str">
        <f>"52"</f>
        <v>52</v>
      </c>
      <c r="E534">
        <v>9.3450000000000006</v>
      </c>
      <c r="F534">
        <v>899</v>
      </c>
      <c r="G534" t="str">
        <f>"1031816117"</f>
        <v>1031816117</v>
      </c>
      <c r="H534" t="str">
        <f t="shared" si="148"/>
        <v>2025-12-03</v>
      </c>
      <c r="I534" t="str">
        <f>"2512039122"</f>
        <v>2512039122</v>
      </c>
      <c r="J534" t="str">
        <f t="shared" si="144"/>
        <v>DELIVERED</v>
      </c>
    </row>
    <row r="535" spans="1:10" x14ac:dyDescent="0.25">
      <c r="A535" t="str">
        <f>"0000114563"</f>
        <v>0000114563</v>
      </c>
      <c r="B535" t="str">
        <f>"0001104592"</f>
        <v>0001104592</v>
      </c>
      <c r="C535" t="str">
        <f t="shared" si="149"/>
        <v xml:space="preserve">TR40/24 </v>
      </c>
      <c r="D535" t="str">
        <f>"52"</f>
        <v>52</v>
      </c>
      <c r="E535">
        <v>5.8419999999999996</v>
      </c>
      <c r="F535">
        <v>160</v>
      </c>
      <c r="G535" t="str">
        <f>"1031816120"</f>
        <v>1031816120</v>
      </c>
      <c r="H535" t="str">
        <f t="shared" si="148"/>
        <v>2025-12-03</v>
      </c>
      <c r="I535" t="str">
        <f>"2512039122"</f>
        <v>2512039122</v>
      </c>
      <c r="J535" t="str">
        <f t="shared" si="144"/>
        <v>DELIVERED</v>
      </c>
    </row>
    <row r="536" spans="1:10" x14ac:dyDescent="0.25">
      <c r="A536" t="str">
        <f>"0000114634"</f>
        <v>0000114634</v>
      </c>
      <c r="B536" t="str">
        <f>"0001101481"</f>
        <v>0001101481</v>
      </c>
      <c r="C536" t="str">
        <f t="shared" si="149"/>
        <v xml:space="preserve">TR40/24 </v>
      </c>
      <c r="D536" t="str">
        <f>"61"</f>
        <v>61</v>
      </c>
      <c r="E536">
        <v>3.4620000000000002</v>
      </c>
      <c r="F536">
        <v>536</v>
      </c>
      <c r="G536" t="str">
        <f>"1031815888"</f>
        <v>1031815888</v>
      </c>
      <c r="H536" t="str">
        <f t="shared" si="148"/>
        <v>2025-12-03</v>
      </c>
      <c r="I536" t="str">
        <f>"2512038372"</f>
        <v>2512038372</v>
      </c>
      <c r="J536" t="str">
        <f t="shared" si="144"/>
        <v>DELIVERED</v>
      </c>
    </row>
    <row r="537" spans="1:10" x14ac:dyDescent="0.25">
      <c r="A537" t="str">
        <f>"0000114634"</f>
        <v>0000114634</v>
      </c>
      <c r="B537" t="str">
        <f>"0001101481"</f>
        <v>0001101481</v>
      </c>
      <c r="C537" t="str">
        <f t="shared" si="149"/>
        <v xml:space="preserve">TR40/24 </v>
      </c>
      <c r="D537" t="str">
        <f>"61"</f>
        <v>61</v>
      </c>
      <c r="E537">
        <v>1.246</v>
      </c>
      <c r="F537">
        <v>332</v>
      </c>
      <c r="G537" t="str">
        <f>"1031815896"</f>
        <v>1031815896</v>
      </c>
      <c r="H537" t="str">
        <f t="shared" si="148"/>
        <v>2025-12-03</v>
      </c>
      <c r="I537" t="str">
        <f>"2512038372"</f>
        <v>2512038372</v>
      </c>
      <c r="J537" t="str">
        <f t="shared" si="144"/>
        <v>DELIVERED</v>
      </c>
    </row>
    <row r="538" spans="1:10" x14ac:dyDescent="0.25">
      <c r="A538" t="str">
        <f>"0000114634"</f>
        <v>0000114634</v>
      </c>
      <c r="B538" t="str">
        <f>"0001101481"</f>
        <v>0001101481</v>
      </c>
      <c r="C538" t="str">
        <f t="shared" si="149"/>
        <v xml:space="preserve">TR40/24 </v>
      </c>
      <c r="D538" t="str">
        <f>"61"</f>
        <v>61</v>
      </c>
      <c r="E538">
        <v>0.85299999999999998</v>
      </c>
      <c r="F538">
        <v>302</v>
      </c>
      <c r="G538" t="str">
        <f>"1031815899"</f>
        <v>1031815899</v>
      </c>
      <c r="H538" t="str">
        <f t="shared" si="148"/>
        <v>2025-12-03</v>
      </c>
      <c r="I538" t="str">
        <f>"2512038372"</f>
        <v>2512038372</v>
      </c>
      <c r="J538" t="str">
        <f t="shared" si="144"/>
        <v>DELIVERED</v>
      </c>
    </row>
    <row r="539" spans="1:10" x14ac:dyDescent="0.25">
      <c r="A539" t="str">
        <f>"0000114634"</f>
        <v>0000114634</v>
      </c>
      <c r="B539" t="str">
        <f>"0001101481"</f>
        <v>0001101481</v>
      </c>
      <c r="C539" t="str">
        <f t="shared" si="149"/>
        <v xml:space="preserve">TR40/24 </v>
      </c>
      <c r="D539" t="str">
        <f>"61"</f>
        <v>61</v>
      </c>
      <c r="E539">
        <v>2.0920000000000001</v>
      </c>
      <c r="F539">
        <v>841</v>
      </c>
      <c r="G539" t="str">
        <f>"1031815902"</f>
        <v>1031815902</v>
      </c>
      <c r="H539" t="str">
        <f t="shared" si="148"/>
        <v>2025-12-03</v>
      </c>
      <c r="I539" t="str">
        <f>"2512038372"</f>
        <v>2512038372</v>
      </c>
      <c r="J539" t="str">
        <f t="shared" si="144"/>
        <v>DELIVERED</v>
      </c>
    </row>
    <row r="540" spans="1:10" x14ac:dyDescent="0.25">
      <c r="A540" t="str">
        <f>"0000114634"</f>
        <v>0000114634</v>
      </c>
      <c r="B540" t="str">
        <f>"0001101481"</f>
        <v>0001101481</v>
      </c>
      <c r="C540" t="str">
        <f t="shared" si="149"/>
        <v xml:space="preserve">TR40/24 </v>
      </c>
      <c r="D540" t="str">
        <f>"61"</f>
        <v>61</v>
      </c>
      <c r="E540">
        <v>1.496</v>
      </c>
      <c r="F540">
        <v>300</v>
      </c>
      <c r="G540" t="str">
        <f>"1031815909"</f>
        <v>1031815909</v>
      </c>
      <c r="H540" t="str">
        <f t="shared" si="148"/>
        <v>2025-12-03</v>
      </c>
      <c r="I540" t="str">
        <f>"2512038372"</f>
        <v>2512038372</v>
      </c>
      <c r="J540" t="str">
        <f t="shared" si="144"/>
        <v>DELIVERED</v>
      </c>
    </row>
    <row r="541" spans="1:10" x14ac:dyDescent="0.25">
      <c r="A541" t="str">
        <f>"0000114655"</f>
        <v>0000114655</v>
      </c>
      <c r="B541" t="str">
        <f>"0001104892"</f>
        <v>0001104892</v>
      </c>
      <c r="C541" t="str">
        <f t="shared" si="149"/>
        <v xml:space="preserve">TR40/24 </v>
      </c>
      <c r="D541" t="str">
        <f>"99"</f>
        <v>99</v>
      </c>
      <c r="E541">
        <v>476.84300000000002</v>
      </c>
      <c r="F541">
        <v>790</v>
      </c>
      <c r="G541" t="str">
        <f>"1031810664"</f>
        <v>1031810664</v>
      </c>
      <c r="H541" t="str">
        <f t="shared" si="148"/>
        <v>2025-12-03</v>
      </c>
      <c r="I541" t="str">
        <f>"2512038812"</f>
        <v>2512038812</v>
      </c>
      <c r="J541" t="str">
        <f t="shared" si="144"/>
        <v>DELIVERED</v>
      </c>
    </row>
    <row r="542" spans="1:10" x14ac:dyDescent="0.25">
      <c r="A542" t="str">
        <f>"0000114655"</f>
        <v>0000114655</v>
      </c>
      <c r="B542" t="str">
        <f>"0001104892"</f>
        <v>0001104892</v>
      </c>
      <c r="C542" t="str">
        <f t="shared" si="149"/>
        <v xml:space="preserve">TR40/24 </v>
      </c>
      <c r="D542" t="str">
        <f>"99"</f>
        <v>99</v>
      </c>
      <c r="E542">
        <v>11.282</v>
      </c>
      <c r="F542">
        <v>732</v>
      </c>
      <c r="G542" t="str">
        <f>"1031810684"</f>
        <v>1031810684</v>
      </c>
      <c r="H542" t="str">
        <f t="shared" si="148"/>
        <v>2025-12-03</v>
      </c>
      <c r="I542" t="str">
        <f>"2512038812"</f>
        <v>2512038812</v>
      </c>
      <c r="J542" t="str">
        <f t="shared" si="144"/>
        <v>DELIVERED</v>
      </c>
    </row>
    <row r="543" spans="1:10" x14ac:dyDescent="0.25">
      <c r="A543" t="str">
        <f>"0000114655"</f>
        <v>0000114655</v>
      </c>
      <c r="B543" t="str">
        <f>"0001104892"</f>
        <v>0001104892</v>
      </c>
      <c r="C543" t="str">
        <f t="shared" si="149"/>
        <v xml:space="preserve">TR40/24 </v>
      </c>
      <c r="D543" t="str">
        <f>"99"</f>
        <v>99</v>
      </c>
      <c r="E543">
        <v>240.55600000000001</v>
      </c>
      <c r="F543">
        <v>342</v>
      </c>
      <c r="G543" t="str">
        <f>"1031812148"</f>
        <v>1031812148</v>
      </c>
      <c r="H543" t="str">
        <f t="shared" si="148"/>
        <v>2025-12-03</v>
      </c>
      <c r="I543" t="str">
        <f>"2512038812"</f>
        <v>2512038812</v>
      </c>
      <c r="J543" t="str">
        <f t="shared" si="144"/>
        <v>DELIVERED</v>
      </c>
    </row>
    <row r="544" spans="1:10" x14ac:dyDescent="0.25">
      <c r="A544" t="str">
        <f>"0000114655"</f>
        <v>0000114655</v>
      </c>
      <c r="B544" t="str">
        <f>"0001104892"</f>
        <v>0001104892</v>
      </c>
      <c r="C544" t="str">
        <f t="shared" si="149"/>
        <v xml:space="preserve">TR40/24 </v>
      </c>
      <c r="D544" t="str">
        <f>"99"</f>
        <v>99</v>
      </c>
      <c r="E544">
        <v>1.44</v>
      </c>
      <c r="F544">
        <v>462</v>
      </c>
      <c r="G544" t="str">
        <f>"1031813379"</f>
        <v>1031813379</v>
      </c>
      <c r="H544" t="str">
        <f t="shared" si="148"/>
        <v>2025-12-03</v>
      </c>
      <c r="I544" t="str">
        <f>"2512038812"</f>
        <v>2512038812</v>
      </c>
      <c r="J544" t="str">
        <f t="shared" si="144"/>
        <v>DELIVERED</v>
      </c>
    </row>
    <row r="545" spans="1:10" x14ac:dyDescent="0.25">
      <c r="A545" t="str">
        <f>"0000114655"</f>
        <v>0000114655</v>
      </c>
      <c r="B545" t="str">
        <f>"0001104892"</f>
        <v>0001104892</v>
      </c>
      <c r="C545" t="str">
        <f t="shared" si="149"/>
        <v xml:space="preserve">TR40/24 </v>
      </c>
      <c r="D545" t="str">
        <f>"99"</f>
        <v>99</v>
      </c>
      <c r="E545">
        <v>54.249000000000002</v>
      </c>
      <c r="F545">
        <v>108</v>
      </c>
      <c r="G545" t="str">
        <f>"1031813380"</f>
        <v>1031813380</v>
      </c>
      <c r="H545" t="str">
        <f t="shared" si="148"/>
        <v>2025-12-03</v>
      </c>
      <c r="I545" t="str">
        <f>"2512038812"</f>
        <v>2512038812</v>
      </c>
      <c r="J545" t="str">
        <f t="shared" si="144"/>
        <v>DELIVERED</v>
      </c>
    </row>
    <row r="546" spans="1:10" x14ac:dyDescent="0.25">
      <c r="A546" t="str">
        <f>"0000114662"</f>
        <v>0000114662</v>
      </c>
      <c r="B546" t="str">
        <f>"0001101798"</f>
        <v>0001101798</v>
      </c>
      <c r="C546" t="str">
        <f t="shared" si="149"/>
        <v xml:space="preserve">TR40/24 </v>
      </c>
      <c r="D546" t="str">
        <f>"33"</f>
        <v>33</v>
      </c>
      <c r="E546">
        <v>21.643000000000001</v>
      </c>
      <c r="F546">
        <v>515</v>
      </c>
      <c r="G546" t="str">
        <f>"1031813315"</f>
        <v>1031813315</v>
      </c>
      <c r="H546" t="str">
        <f t="shared" si="148"/>
        <v>2025-12-03</v>
      </c>
      <c r="I546" t="str">
        <f>"2512028571"</f>
        <v>2512028571</v>
      </c>
      <c r="J546" t="str">
        <f t="shared" si="144"/>
        <v>DELIVERED</v>
      </c>
    </row>
    <row r="547" spans="1:10" x14ac:dyDescent="0.25">
      <c r="A547" t="str">
        <f>"0000114662"</f>
        <v>0000114662</v>
      </c>
      <c r="B547" t="str">
        <f>"0001101798"</f>
        <v>0001101798</v>
      </c>
      <c r="C547" t="str">
        <f t="shared" si="149"/>
        <v xml:space="preserve">TR40/24 </v>
      </c>
      <c r="D547" t="str">
        <f>"33"</f>
        <v>33</v>
      </c>
      <c r="E547">
        <v>29.981000000000002</v>
      </c>
      <c r="F547">
        <v>904</v>
      </c>
      <c r="G547" t="str">
        <f>"1031813316"</f>
        <v>1031813316</v>
      </c>
      <c r="H547" t="str">
        <f t="shared" si="148"/>
        <v>2025-12-03</v>
      </c>
      <c r="I547" t="str">
        <f>"2511297239"</f>
        <v>2511297239</v>
      </c>
      <c r="J547" t="str">
        <f t="shared" si="144"/>
        <v>DELIVERED</v>
      </c>
    </row>
    <row r="548" spans="1:10" x14ac:dyDescent="0.25">
      <c r="A548" t="str">
        <f>"0000114662"</f>
        <v>0000114662</v>
      </c>
      <c r="B548" t="str">
        <f>"0001101798"</f>
        <v>0001101798</v>
      </c>
      <c r="C548" t="str">
        <f t="shared" si="149"/>
        <v xml:space="preserve">TR40/24 </v>
      </c>
      <c r="D548" t="str">
        <f>"33"</f>
        <v>33</v>
      </c>
      <c r="E548">
        <v>21.835999999999999</v>
      </c>
      <c r="F548">
        <v>514</v>
      </c>
      <c r="G548" t="str">
        <f>"1031813317"</f>
        <v>1031813317</v>
      </c>
      <c r="H548" t="str">
        <f t="shared" si="148"/>
        <v>2025-12-03</v>
      </c>
      <c r="I548" t="str">
        <f>"2512028569"</f>
        <v>2512028569</v>
      </c>
      <c r="J548" t="str">
        <f t="shared" si="144"/>
        <v>DELIVERED</v>
      </c>
    </row>
    <row r="549" spans="1:10" x14ac:dyDescent="0.25">
      <c r="A549" t="str">
        <f t="shared" ref="A549:A571" si="150">"0000114711"</f>
        <v>0000114711</v>
      </c>
      <c r="B549" t="str">
        <f t="shared" ref="B549:B571" si="151">"0001101507"</f>
        <v>0001101507</v>
      </c>
      <c r="C549" t="str">
        <f t="shared" si="149"/>
        <v xml:space="preserve">TR40/24 </v>
      </c>
      <c r="D549" t="str">
        <f t="shared" ref="D549:D571" si="152">"76"</f>
        <v>76</v>
      </c>
      <c r="E549">
        <v>1.1140000000000001</v>
      </c>
      <c r="F549">
        <v>64</v>
      </c>
      <c r="G549" t="str">
        <f>"1031812936"</f>
        <v>1031812936</v>
      </c>
      <c r="H549" t="str">
        <f t="shared" si="148"/>
        <v>2025-12-03</v>
      </c>
      <c r="I549" t="str">
        <f t="shared" ref="I549:I571" si="153">"2512038805"</f>
        <v>2512038805</v>
      </c>
      <c r="J549" t="str">
        <f t="shared" si="144"/>
        <v>DELIVERED</v>
      </c>
    </row>
    <row r="550" spans="1:10" x14ac:dyDescent="0.25">
      <c r="A550" t="str">
        <f t="shared" si="150"/>
        <v>0000114711</v>
      </c>
      <c r="B550" t="str">
        <f t="shared" si="151"/>
        <v>0001101507</v>
      </c>
      <c r="C550" t="str">
        <f t="shared" si="149"/>
        <v xml:space="preserve">TR40/24 </v>
      </c>
      <c r="D550" t="str">
        <f t="shared" si="152"/>
        <v>76</v>
      </c>
      <c r="E550">
        <v>0.31900000000000001</v>
      </c>
      <c r="F550">
        <v>15</v>
      </c>
      <c r="G550" t="str">
        <f>"1031812937"</f>
        <v>1031812937</v>
      </c>
      <c r="H550" t="str">
        <f t="shared" si="148"/>
        <v>2025-12-03</v>
      </c>
      <c r="I550" t="str">
        <f t="shared" si="153"/>
        <v>2512038805</v>
      </c>
      <c r="J550" t="str">
        <f t="shared" si="144"/>
        <v>DELIVERED</v>
      </c>
    </row>
    <row r="551" spans="1:10" x14ac:dyDescent="0.25">
      <c r="A551" t="str">
        <f t="shared" si="150"/>
        <v>0000114711</v>
      </c>
      <c r="B551" t="str">
        <f t="shared" si="151"/>
        <v>0001101507</v>
      </c>
      <c r="C551" t="str">
        <f t="shared" si="149"/>
        <v xml:space="preserve">TR40/24 </v>
      </c>
      <c r="D551" t="str">
        <f t="shared" si="152"/>
        <v>76</v>
      </c>
      <c r="E551">
        <v>0.33600000000000002</v>
      </c>
      <c r="F551">
        <v>16</v>
      </c>
      <c r="G551" t="str">
        <f>"1031812938"</f>
        <v>1031812938</v>
      </c>
      <c r="H551" t="str">
        <f t="shared" si="148"/>
        <v>2025-12-03</v>
      </c>
      <c r="I551" t="str">
        <f t="shared" si="153"/>
        <v>2512038805</v>
      </c>
      <c r="J551" t="str">
        <f t="shared" ref="J551:J582" si="154">"DELIVERED"</f>
        <v>DELIVERED</v>
      </c>
    </row>
    <row r="552" spans="1:10" x14ac:dyDescent="0.25">
      <c r="A552" t="str">
        <f t="shared" si="150"/>
        <v>0000114711</v>
      </c>
      <c r="B552" t="str">
        <f t="shared" si="151"/>
        <v>0001101507</v>
      </c>
      <c r="C552" t="str">
        <f t="shared" si="149"/>
        <v xml:space="preserve">TR40/24 </v>
      </c>
      <c r="D552" t="str">
        <f t="shared" si="152"/>
        <v>76</v>
      </c>
      <c r="E552">
        <v>0.26600000000000001</v>
      </c>
      <c r="F552">
        <v>16</v>
      </c>
      <c r="G552" t="str">
        <f>"1031812939"</f>
        <v>1031812939</v>
      </c>
      <c r="H552" t="str">
        <f t="shared" si="148"/>
        <v>2025-12-03</v>
      </c>
      <c r="I552" t="str">
        <f t="shared" si="153"/>
        <v>2512038805</v>
      </c>
      <c r="J552" t="str">
        <f t="shared" si="154"/>
        <v>DELIVERED</v>
      </c>
    </row>
    <row r="553" spans="1:10" x14ac:dyDescent="0.25">
      <c r="A553" t="str">
        <f t="shared" si="150"/>
        <v>0000114711</v>
      </c>
      <c r="B553" t="str">
        <f t="shared" si="151"/>
        <v>0001101507</v>
      </c>
      <c r="C553" t="str">
        <f t="shared" si="149"/>
        <v xml:space="preserve">TR40/24 </v>
      </c>
      <c r="D553" t="str">
        <f t="shared" si="152"/>
        <v>76</v>
      </c>
      <c r="E553">
        <v>0.249</v>
      </c>
      <c r="F553">
        <v>15</v>
      </c>
      <c r="G553" t="str">
        <f>"1031812940"</f>
        <v>1031812940</v>
      </c>
      <c r="H553" t="str">
        <f t="shared" si="148"/>
        <v>2025-12-03</v>
      </c>
      <c r="I553" t="str">
        <f t="shared" si="153"/>
        <v>2512038805</v>
      </c>
      <c r="J553" t="str">
        <f t="shared" si="154"/>
        <v>DELIVERED</v>
      </c>
    </row>
    <row r="554" spans="1:10" x14ac:dyDescent="0.25">
      <c r="A554" t="str">
        <f t="shared" si="150"/>
        <v>0000114711</v>
      </c>
      <c r="B554" t="str">
        <f t="shared" si="151"/>
        <v>0001101507</v>
      </c>
      <c r="C554" t="str">
        <f t="shared" si="149"/>
        <v xml:space="preserve">TR40/24 </v>
      </c>
      <c r="D554" t="str">
        <f t="shared" si="152"/>
        <v>76</v>
      </c>
      <c r="E554">
        <v>1.347</v>
      </c>
      <c r="F554">
        <v>140</v>
      </c>
      <c r="G554" t="str">
        <f>"1031812952"</f>
        <v>1031812952</v>
      </c>
      <c r="H554" t="str">
        <f t="shared" si="148"/>
        <v>2025-12-03</v>
      </c>
      <c r="I554" t="str">
        <f t="shared" si="153"/>
        <v>2512038805</v>
      </c>
      <c r="J554" t="str">
        <f t="shared" si="154"/>
        <v>DELIVERED</v>
      </c>
    </row>
    <row r="555" spans="1:10" x14ac:dyDescent="0.25">
      <c r="A555" t="str">
        <f t="shared" si="150"/>
        <v>0000114711</v>
      </c>
      <c r="B555" t="str">
        <f t="shared" si="151"/>
        <v>0001101507</v>
      </c>
      <c r="C555" t="str">
        <f t="shared" si="149"/>
        <v xml:space="preserve">TR40/24 </v>
      </c>
      <c r="D555" t="str">
        <f t="shared" si="152"/>
        <v>76</v>
      </c>
      <c r="E555">
        <v>0.871</v>
      </c>
      <c r="F555">
        <v>54</v>
      </c>
      <c r="G555" t="str">
        <f>"1031812957"</f>
        <v>1031812957</v>
      </c>
      <c r="H555" t="str">
        <f t="shared" si="148"/>
        <v>2025-12-03</v>
      </c>
      <c r="I555" t="str">
        <f t="shared" si="153"/>
        <v>2512038805</v>
      </c>
      <c r="J555" t="str">
        <f t="shared" si="154"/>
        <v>DELIVERED</v>
      </c>
    </row>
    <row r="556" spans="1:10" x14ac:dyDescent="0.25">
      <c r="A556" t="str">
        <f t="shared" si="150"/>
        <v>0000114711</v>
      </c>
      <c r="B556" t="str">
        <f t="shared" si="151"/>
        <v>0001101507</v>
      </c>
      <c r="C556" t="str">
        <f t="shared" si="149"/>
        <v xml:space="preserve">TR40/24 </v>
      </c>
      <c r="D556" t="str">
        <f t="shared" si="152"/>
        <v>76</v>
      </c>
      <c r="E556">
        <v>0.26</v>
      </c>
      <c r="F556">
        <v>13</v>
      </c>
      <c r="G556" t="str">
        <f>"1031812958"</f>
        <v>1031812958</v>
      </c>
      <c r="H556" t="str">
        <f t="shared" si="148"/>
        <v>2025-12-03</v>
      </c>
      <c r="I556" t="str">
        <f t="shared" si="153"/>
        <v>2512038805</v>
      </c>
      <c r="J556" t="str">
        <f t="shared" si="154"/>
        <v>DELIVERED</v>
      </c>
    </row>
    <row r="557" spans="1:10" x14ac:dyDescent="0.25">
      <c r="A557" t="str">
        <f t="shared" si="150"/>
        <v>0000114711</v>
      </c>
      <c r="B557" t="str">
        <f t="shared" si="151"/>
        <v>0001101507</v>
      </c>
      <c r="C557" t="str">
        <f t="shared" si="149"/>
        <v xml:space="preserve">TR40/24 </v>
      </c>
      <c r="D557" t="str">
        <f t="shared" si="152"/>
        <v>76</v>
      </c>
      <c r="E557">
        <v>0.27400000000000002</v>
      </c>
      <c r="F557">
        <v>14</v>
      </c>
      <c r="G557" t="str">
        <f>"1031812959"</f>
        <v>1031812959</v>
      </c>
      <c r="H557" t="str">
        <f t="shared" si="148"/>
        <v>2025-12-03</v>
      </c>
      <c r="I557" t="str">
        <f t="shared" si="153"/>
        <v>2512038805</v>
      </c>
      <c r="J557" t="str">
        <f t="shared" si="154"/>
        <v>DELIVERED</v>
      </c>
    </row>
    <row r="558" spans="1:10" x14ac:dyDescent="0.25">
      <c r="A558" t="str">
        <f t="shared" si="150"/>
        <v>0000114711</v>
      </c>
      <c r="B558" t="str">
        <f t="shared" si="151"/>
        <v>0001101507</v>
      </c>
      <c r="C558" t="str">
        <f t="shared" si="149"/>
        <v xml:space="preserve">TR40/24 </v>
      </c>
      <c r="D558" t="str">
        <f t="shared" si="152"/>
        <v>76</v>
      </c>
      <c r="E558">
        <v>0.219</v>
      </c>
      <c r="F558">
        <v>14</v>
      </c>
      <c r="G558" t="str">
        <f>"1031812960"</f>
        <v>1031812960</v>
      </c>
      <c r="H558" t="str">
        <f t="shared" si="148"/>
        <v>2025-12-03</v>
      </c>
      <c r="I558" t="str">
        <f t="shared" si="153"/>
        <v>2512038805</v>
      </c>
      <c r="J558" t="str">
        <f t="shared" si="154"/>
        <v>DELIVERED</v>
      </c>
    </row>
    <row r="559" spans="1:10" x14ac:dyDescent="0.25">
      <c r="A559" t="str">
        <f t="shared" si="150"/>
        <v>0000114711</v>
      </c>
      <c r="B559" t="str">
        <f t="shared" si="151"/>
        <v>0001101507</v>
      </c>
      <c r="C559" t="str">
        <f t="shared" si="149"/>
        <v xml:space="preserve">TR40/24 </v>
      </c>
      <c r="D559" t="str">
        <f t="shared" si="152"/>
        <v>76</v>
      </c>
      <c r="E559">
        <v>0.20399999999999999</v>
      </c>
      <c r="F559">
        <v>13</v>
      </c>
      <c r="G559" t="str">
        <f>"1031812961"</f>
        <v>1031812961</v>
      </c>
      <c r="H559" t="str">
        <f t="shared" si="148"/>
        <v>2025-12-03</v>
      </c>
      <c r="I559" t="str">
        <f t="shared" si="153"/>
        <v>2512038805</v>
      </c>
      <c r="J559" t="str">
        <f t="shared" si="154"/>
        <v>DELIVERED</v>
      </c>
    </row>
    <row r="560" spans="1:10" x14ac:dyDescent="0.25">
      <c r="A560" t="str">
        <f t="shared" si="150"/>
        <v>0000114711</v>
      </c>
      <c r="B560" t="str">
        <f t="shared" si="151"/>
        <v>0001101507</v>
      </c>
      <c r="C560" t="str">
        <f t="shared" si="149"/>
        <v xml:space="preserve">TR40/24 </v>
      </c>
      <c r="D560" t="str">
        <f t="shared" si="152"/>
        <v>76</v>
      </c>
      <c r="E560">
        <v>0.80700000000000005</v>
      </c>
      <c r="F560">
        <v>112</v>
      </c>
      <c r="G560" t="str">
        <f>"1031812963"</f>
        <v>1031812963</v>
      </c>
      <c r="H560" t="str">
        <f t="shared" ref="H560:H580" si="155">"2025-12-03"</f>
        <v>2025-12-03</v>
      </c>
      <c r="I560" t="str">
        <f t="shared" si="153"/>
        <v>2512038805</v>
      </c>
      <c r="J560" t="str">
        <f t="shared" si="154"/>
        <v>DELIVERED</v>
      </c>
    </row>
    <row r="561" spans="1:10" x14ac:dyDescent="0.25">
      <c r="A561" t="str">
        <f t="shared" si="150"/>
        <v>0000114711</v>
      </c>
      <c r="B561" t="str">
        <f t="shared" si="151"/>
        <v>0001101507</v>
      </c>
      <c r="C561" t="str">
        <f t="shared" si="149"/>
        <v xml:space="preserve">TR40/24 </v>
      </c>
      <c r="D561" t="str">
        <f t="shared" si="152"/>
        <v>76</v>
      </c>
      <c r="E561">
        <v>1.1140000000000001</v>
      </c>
      <c r="F561">
        <v>64</v>
      </c>
      <c r="G561" t="str">
        <f>"1031812966"</f>
        <v>1031812966</v>
      </c>
      <c r="H561" t="str">
        <f t="shared" si="155"/>
        <v>2025-12-03</v>
      </c>
      <c r="I561" t="str">
        <f t="shared" si="153"/>
        <v>2512038805</v>
      </c>
      <c r="J561" t="str">
        <f t="shared" si="154"/>
        <v>DELIVERED</v>
      </c>
    </row>
    <row r="562" spans="1:10" x14ac:dyDescent="0.25">
      <c r="A562" t="str">
        <f t="shared" si="150"/>
        <v>0000114711</v>
      </c>
      <c r="B562" t="str">
        <f t="shared" si="151"/>
        <v>0001101507</v>
      </c>
      <c r="C562" t="str">
        <f t="shared" si="149"/>
        <v xml:space="preserve">TR40/24 </v>
      </c>
      <c r="D562" t="str">
        <f t="shared" si="152"/>
        <v>76</v>
      </c>
      <c r="E562">
        <v>0.31900000000000001</v>
      </c>
      <c r="F562">
        <v>15</v>
      </c>
      <c r="G562" t="str">
        <f>"1031812967"</f>
        <v>1031812967</v>
      </c>
      <c r="H562" t="str">
        <f t="shared" si="155"/>
        <v>2025-12-03</v>
      </c>
      <c r="I562" t="str">
        <f t="shared" si="153"/>
        <v>2512038805</v>
      </c>
      <c r="J562" t="str">
        <f t="shared" si="154"/>
        <v>DELIVERED</v>
      </c>
    </row>
    <row r="563" spans="1:10" x14ac:dyDescent="0.25">
      <c r="A563" t="str">
        <f t="shared" si="150"/>
        <v>0000114711</v>
      </c>
      <c r="B563" t="str">
        <f t="shared" si="151"/>
        <v>0001101507</v>
      </c>
      <c r="C563" t="str">
        <f t="shared" ref="C563:C594" si="156">"TR40/24 "</f>
        <v xml:space="preserve">TR40/24 </v>
      </c>
      <c r="D563" t="str">
        <f t="shared" si="152"/>
        <v>76</v>
      </c>
      <c r="E563">
        <v>0.33600000000000002</v>
      </c>
      <c r="F563">
        <v>16</v>
      </c>
      <c r="G563" t="str">
        <f>"1031812968"</f>
        <v>1031812968</v>
      </c>
      <c r="H563" t="str">
        <f t="shared" si="155"/>
        <v>2025-12-03</v>
      </c>
      <c r="I563" t="str">
        <f t="shared" si="153"/>
        <v>2512038805</v>
      </c>
      <c r="J563" t="str">
        <f t="shared" si="154"/>
        <v>DELIVERED</v>
      </c>
    </row>
    <row r="564" spans="1:10" x14ac:dyDescent="0.25">
      <c r="A564" t="str">
        <f t="shared" si="150"/>
        <v>0000114711</v>
      </c>
      <c r="B564" t="str">
        <f t="shared" si="151"/>
        <v>0001101507</v>
      </c>
      <c r="C564" t="str">
        <f t="shared" si="156"/>
        <v xml:space="preserve">TR40/24 </v>
      </c>
      <c r="D564" t="str">
        <f t="shared" si="152"/>
        <v>76</v>
      </c>
      <c r="E564">
        <v>0.26600000000000001</v>
      </c>
      <c r="F564">
        <v>16</v>
      </c>
      <c r="G564" t="str">
        <f>"1031812969"</f>
        <v>1031812969</v>
      </c>
      <c r="H564" t="str">
        <f t="shared" si="155"/>
        <v>2025-12-03</v>
      </c>
      <c r="I564" t="str">
        <f t="shared" si="153"/>
        <v>2512038805</v>
      </c>
      <c r="J564" t="str">
        <f t="shared" si="154"/>
        <v>DELIVERED</v>
      </c>
    </row>
    <row r="565" spans="1:10" x14ac:dyDescent="0.25">
      <c r="A565" t="str">
        <f t="shared" si="150"/>
        <v>0000114711</v>
      </c>
      <c r="B565" t="str">
        <f t="shared" si="151"/>
        <v>0001101507</v>
      </c>
      <c r="C565" t="str">
        <f t="shared" si="156"/>
        <v xml:space="preserve">TR40/24 </v>
      </c>
      <c r="D565" t="str">
        <f t="shared" si="152"/>
        <v>76</v>
      </c>
      <c r="E565">
        <v>0.249</v>
      </c>
      <c r="F565">
        <v>15</v>
      </c>
      <c r="G565" t="str">
        <f>"1031812970"</f>
        <v>1031812970</v>
      </c>
      <c r="H565" t="str">
        <f t="shared" si="155"/>
        <v>2025-12-03</v>
      </c>
      <c r="I565" t="str">
        <f t="shared" si="153"/>
        <v>2512038805</v>
      </c>
      <c r="J565" t="str">
        <f t="shared" si="154"/>
        <v>DELIVERED</v>
      </c>
    </row>
    <row r="566" spans="1:10" x14ac:dyDescent="0.25">
      <c r="A566" t="str">
        <f t="shared" si="150"/>
        <v>0000114711</v>
      </c>
      <c r="B566" t="str">
        <f t="shared" si="151"/>
        <v>0001101507</v>
      </c>
      <c r="C566" t="str">
        <f t="shared" si="156"/>
        <v xml:space="preserve">TR40/24 </v>
      </c>
      <c r="D566" t="str">
        <f t="shared" si="152"/>
        <v>76</v>
      </c>
      <c r="E566">
        <v>2.593</v>
      </c>
      <c r="F566">
        <v>210</v>
      </c>
      <c r="G566" t="str">
        <f>"1031812971"</f>
        <v>1031812971</v>
      </c>
      <c r="H566" t="str">
        <f t="shared" si="155"/>
        <v>2025-12-03</v>
      </c>
      <c r="I566" t="str">
        <f t="shared" si="153"/>
        <v>2512038805</v>
      </c>
      <c r="J566" t="str">
        <f t="shared" si="154"/>
        <v>DELIVERED</v>
      </c>
    </row>
    <row r="567" spans="1:10" x14ac:dyDescent="0.25">
      <c r="A567" t="str">
        <f t="shared" si="150"/>
        <v>0000114711</v>
      </c>
      <c r="B567" t="str">
        <f t="shared" si="151"/>
        <v>0001101507</v>
      </c>
      <c r="C567" t="str">
        <f t="shared" si="156"/>
        <v xml:space="preserve">TR40/24 </v>
      </c>
      <c r="D567" t="str">
        <f t="shared" si="152"/>
        <v>76</v>
      </c>
      <c r="E567">
        <v>1.673</v>
      </c>
      <c r="F567">
        <v>388</v>
      </c>
      <c r="G567" t="str">
        <f>"1031812972"</f>
        <v>1031812972</v>
      </c>
      <c r="H567" t="str">
        <f t="shared" si="155"/>
        <v>2025-12-03</v>
      </c>
      <c r="I567" t="str">
        <f t="shared" si="153"/>
        <v>2512038805</v>
      </c>
      <c r="J567" t="str">
        <f t="shared" si="154"/>
        <v>DELIVERED</v>
      </c>
    </row>
    <row r="568" spans="1:10" x14ac:dyDescent="0.25">
      <c r="A568" t="str">
        <f t="shared" si="150"/>
        <v>0000114711</v>
      </c>
      <c r="B568" t="str">
        <f t="shared" si="151"/>
        <v>0001101507</v>
      </c>
      <c r="C568" t="str">
        <f t="shared" si="156"/>
        <v xml:space="preserve">TR40/24 </v>
      </c>
      <c r="D568" t="str">
        <f t="shared" si="152"/>
        <v>76</v>
      </c>
      <c r="E568">
        <v>4.1550000000000002</v>
      </c>
      <c r="F568">
        <v>561</v>
      </c>
      <c r="G568" t="str">
        <f>"1031812973"</f>
        <v>1031812973</v>
      </c>
      <c r="H568" t="str">
        <f t="shared" si="155"/>
        <v>2025-12-03</v>
      </c>
      <c r="I568" t="str">
        <f t="shared" si="153"/>
        <v>2512038805</v>
      </c>
      <c r="J568" t="str">
        <f t="shared" si="154"/>
        <v>DELIVERED</v>
      </c>
    </row>
    <row r="569" spans="1:10" x14ac:dyDescent="0.25">
      <c r="A569" t="str">
        <f t="shared" si="150"/>
        <v>0000114711</v>
      </c>
      <c r="B569" t="str">
        <f t="shared" si="151"/>
        <v>0001101507</v>
      </c>
      <c r="C569" t="str">
        <f t="shared" si="156"/>
        <v xml:space="preserve">TR40/24 </v>
      </c>
      <c r="D569" t="str">
        <f t="shared" si="152"/>
        <v>76</v>
      </c>
      <c r="E569">
        <v>2.593</v>
      </c>
      <c r="F569">
        <v>210</v>
      </c>
      <c r="G569" t="str">
        <f>"1031812986"</f>
        <v>1031812986</v>
      </c>
      <c r="H569" t="str">
        <f t="shared" si="155"/>
        <v>2025-12-03</v>
      </c>
      <c r="I569" t="str">
        <f t="shared" si="153"/>
        <v>2512038805</v>
      </c>
      <c r="J569" t="str">
        <f t="shared" si="154"/>
        <v>DELIVERED</v>
      </c>
    </row>
    <row r="570" spans="1:10" x14ac:dyDescent="0.25">
      <c r="A570" t="str">
        <f t="shared" si="150"/>
        <v>0000114711</v>
      </c>
      <c r="B570" t="str">
        <f t="shared" si="151"/>
        <v>0001101507</v>
      </c>
      <c r="C570" t="str">
        <f t="shared" si="156"/>
        <v xml:space="preserve">TR40/24 </v>
      </c>
      <c r="D570" t="str">
        <f t="shared" si="152"/>
        <v>76</v>
      </c>
      <c r="E570">
        <v>4.2080000000000002</v>
      </c>
      <c r="F570">
        <v>561</v>
      </c>
      <c r="G570" t="str">
        <f>"1031812988"</f>
        <v>1031812988</v>
      </c>
      <c r="H570" t="str">
        <f t="shared" si="155"/>
        <v>2025-12-03</v>
      </c>
      <c r="I570" t="str">
        <f t="shared" si="153"/>
        <v>2512038805</v>
      </c>
      <c r="J570" t="str">
        <f t="shared" si="154"/>
        <v>DELIVERED</v>
      </c>
    </row>
    <row r="571" spans="1:10" x14ac:dyDescent="0.25">
      <c r="A571" t="str">
        <f t="shared" si="150"/>
        <v>0000114711</v>
      </c>
      <c r="B571" t="str">
        <f t="shared" si="151"/>
        <v>0001101507</v>
      </c>
      <c r="C571" t="str">
        <f t="shared" si="156"/>
        <v xml:space="preserve">TR40/24 </v>
      </c>
      <c r="D571" t="str">
        <f t="shared" si="152"/>
        <v>76</v>
      </c>
      <c r="E571">
        <v>0.42</v>
      </c>
      <c r="F571">
        <v>496</v>
      </c>
      <c r="G571" t="str">
        <f>"1031814904"</f>
        <v>1031814904</v>
      </c>
      <c r="H571" t="str">
        <f t="shared" si="155"/>
        <v>2025-12-03</v>
      </c>
      <c r="I571" t="str">
        <f t="shared" si="153"/>
        <v>2512038805</v>
      </c>
      <c r="J571" t="str">
        <f t="shared" si="154"/>
        <v>DELIVERED</v>
      </c>
    </row>
    <row r="572" spans="1:10" x14ac:dyDescent="0.25">
      <c r="A572" t="str">
        <f>"0000114714"</f>
        <v>0000114714</v>
      </c>
      <c r="B572" t="str">
        <f>"0001104903"</f>
        <v>0001104903</v>
      </c>
      <c r="C572" t="str">
        <f t="shared" si="156"/>
        <v xml:space="preserve">TR40/24 </v>
      </c>
      <c r="D572" t="str">
        <f>"23"</f>
        <v>23</v>
      </c>
      <c r="E572">
        <v>1.659</v>
      </c>
      <c r="F572">
        <v>56</v>
      </c>
      <c r="G572" t="str">
        <f>"1031816368"</f>
        <v>1031816368</v>
      </c>
      <c r="H572" t="str">
        <f t="shared" si="155"/>
        <v>2025-12-03</v>
      </c>
      <c r="I572" t="str">
        <f>"2512038368"</f>
        <v>2512038368</v>
      </c>
      <c r="J572" t="str">
        <f t="shared" si="154"/>
        <v>DELIVERED</v>
      </c>
    </row>
    <row r="573" spans="1:10" x14ac:dyDescent="0.25">
      <c r="A573" t="str">
        <f>"0000114714"</f>
        <v>0000114714</v>
      </c>
      <c r="B573" t="str">
        <f>"0001104903"</f>
        <v>0001104903</v>
      </c>
      <c r="C573" t="str">
        <f t="shared" si="156"/>
        <v xml:space="preserve">TR40/24 </v>
      </c>
      <c r="D573" t="str">
        <f>"23"</f>
        <v>23</v>
      </c>
      <c r="E573">
        <v>0.74199999999999999</v>
      </c>
      <c r="F573">
        <v>100</v>
      </c>
      <c r="G573" t="str">
        <f>"1031816776"</f>
        <v>1031816776</v>
      </c>
      <c r="H573" t="str">
        <f t="shared" si="155"/>
        <v>2025-12-03</v>
      </c>
      <c r="I573" t="str">
        <f>"2512038368"</f>
        <v>2512038368</v>
      </c>
      <c r="J573" t="str">
        <f t="shared" si="154"/>
        <v>DELIVERED</v>
      </c>
    </row>
    <row r="574" spans="1:10" x14ac:dyDescent="0.25">
      <c r="A574" t="str">
        <f>"0000114740"</f>
        <v>0000114740</v>
      </c>
      <c r="B574" t="str">
        <f>"0001104902"</f>
        <v>0001104902</v>
      </c>
      <c r="C574" t="str">
        <f t="shared" si="156"/>
        <v xml:space="preserve">TR40/24 </v>
      </c>
      <c r="D574" t="str">
        <f>"76"</f>
        <v>76</v>
      </c>
      <c r="E574">
        <v>5.3390000000000004</v>
      </c>
      <c r="F574">
        <v>615</v>
      </c>
      <c r="G574" t="str">
        <f>"1031814908"</f>
        <v>1031814908</v>
      </c>
      <c r="H574" t="str">
        <f t="shared" si="155"/>
        <v>2025-12-03</v>
      </c>
      <c r="I574" t="str">
        <f>"2512037780"</f>
        <v>2512037780</v>
      </c>
      <c r="J574" t="str">
        <f t="shared" si="154"/>
        <v>DELIVERED</v>
      </c>
    </row>
    <row r="575" spans="1:10" x14ac:dyDescent="0.25">
      <c r="A575" t="str">
        <f>"0000114740"</f>
        <v>0000114740</v>
      </c>
      <c r="B575" t="str">
        <f>"0001104902"</f>
        <v>0001104902</v>
      </c>
      <c r="C575" t="str">
        <f t="shared" si="156"/>
        <v xml:space="preserve">TR40/24 </v>
      </c>
      <c r="D575" t="str">
        <f>"76"</f>
        <v>76</v>
      </c>
      <c r="E575">
        <v>22.683</v>
      </c>
      <c r="F575">
        <v>3501</v>
      </c>
      <c r="G575" t="str">
        <f>"1031815373"</f>
        <v>1031815373</v>
      </c>
      <c r="H575" t="str">
        <f t="shared" si="155"/>
        <v>2025-12-03</v>
      </c>
      <c r="I575" t="str">
        <f>"2512037780"</f>
        <v>2512037780</v>
      </c>
      <c r="J575" t="str">
        <f t="shared" si="154"/>
        <v>DELIVERED</v>
      </c>
    </row>
    <row r="576" spans="1:10" x14ac:dyDescent="0.25">
      <c r="A576" t="str">
        <f>"0000114749"</f>
        <v>0000114749</v>
      </c>
      <c r="B576" t="str">
        <f>"0001104909"</f>
        <v>0001104909</v>
      </c>
      <c r="C576" t="str">
        <f t="shared" si="156"/>
        <v xml:space="preserve">TR40/24 </v>
      </c>
      <c r="D576" t="str">
        <f>"50"</f>
        <v>50</v>
      </c>
      <c r="E576">
        <v>428.488</v>
      </c>
      <c r="F576">
        <v>654</v>
      </c>
      <c r="G576" t="str">
        <f>"1031815305"</f>
        <v>1031815305</v>
      </c>
      <c r="H576" t="str">
        <f t="shared" si="155"/>
        <v>2025-12-03</v>
      </c>
      <c r="I576" t="str">
        <f>"2512039224"</f>
        <v>2512039224</v>
      </c>
      <c r="J576" t="str">
        <f t="shared" si="154"/>
        <v>DELIVERED</v>
      </c>
    </row>
    <row r="577" spans="1:10" x14ac:dyDescent="0.25">
      <c r="A577" t="str">
        <f>"0000114749"</f>
        <v>0000114749</v>
      </c>
      <c r="B577" t="str">
        <f>"0001104909"</f>
        <v>0001104909</v>
      </c>
      <c r="C577" t="str">
        <f t="shared" si="156"/>
        <v xml:space="preserve">TR40/24 </v>
      </c>
      <c r="D577" t="str">
        <f>"50"</f>
        <v>50</v>
      </c>
      <c r="E577">
        <v>23.337</v>
      </c>
      <c r="F577">
        <v>1692</v>
      </c>
      <c r="G577" t="str">
        <f>"1031815857"</f>
        <v>1031815857</v>
      </c>
      <c r="H577" t="str">
        <f t="shared" si="155"/>
        <v>2025-12-03</v>
      </c>
      <c r="I577" t="str">
        <f>"2512038365"</f>
        <v>2512038365</v>
      </c>
      <c r="J577" t="str">
        <f t="shared" si="154"/>
        <v>DELIVERED</v>
      </c>
    </row>
    <row r="578" spans="1:10" x14ac:dyDescent="0.25">
      <c r="A578" t="str">
        <f>"0000114749"</f>
        <v>0000114749</v>
      </c>
      <c r="B578" t="str">
        <f>"0001104909"</f>
        <v>0001104909</v>
      </c>
      <c r="C578" t="str">
        <f t="shared" si="156"/>
        <v xml:space="preserve">TR40/24 </v>
      </c>
      <c r="D578" t="str">
        <f>"50"</f>
        <v>50</v>
      </c>
      <c r="E578">
        <v>16.216000000000001</v>
      </c>
      <c r="F578">
        <v>2208</v>
      </c>
      <c r="G578" t="str">
        <f>"1031816743"</f>
        <v>1031816743</v>
      </c>
      <c r="H578" t="str">
        <f t="shared" si="155"/>
        <v>2025-12-03</v>
      </c>
      <c r="I578" t="str">
        <f>"2512039224"</f>
        <v>2512039224</v>
      </c>
      <c r="J578" t="str">
        <f t="shared" si="154"/>
        <v>DELIVERED</v>
      </c>
    </row>
    <row r="579" spans="1:10" x14ac:dyDescent="0.25">
      <c r="A579" t="str">
        <f>"0000114793"</f>
        <v>0000114793</v>
      </c>
      <c r="B579" t="str">
        <f>"0001101481"</f>
        <v>0001101481</v>
      </c>
      <c r="C579" t="str">
        <f t="shared" si="156"/>
        <v xml:space="preserve">TR40/24 </v>
      </c>
      <c r="D579" t="str">
        <f>"24"</f>
        <v>24</v>
      </c>
      <c r="E579">
        <v>21.388000000000002</v>
      </c>
      <c r="F579">
        <v>3260</v>
      </c>
      <c r="G579" t="str">
        <f>"1031813703"</f>
        <v>1031813703</v>
      </c>
      <c r="H579" t="str">
        <f t="shared" si="155"/>
        <v>2025-12-03</v>
      </c>
      <c r="I579" t="str">
        <f>"2512028595"</f>
        <v>2512028595</v>
      </c>
      <c r="J579" t="str">
        <f t="shared" si="154"/>
        <v>DELIVERED</v>
      </c>
    </row>
    <row r="580" spans="1:10" x14ac:dyDescent="0.25">
      <c r="A580" t="str">
        <f>"0000114804"</f>
        <v>0000114804</v>
      </c>
      <c r="B580" t="str">
        <f>"0001101507"</f>
        <v>0001101507</v>
      </c>
      <c r="C580" t="str">
        <f t="shared" si="156"/>
        <v xml:space="preserve">TR40/24 </v>
      </c>
      <c r="D580" t="str">
        <f>"30"</f>
        <v>30</v>
      </c>
      <c r="E580">
        <v>7.9240000000000004</v>
      </c>
      <c r="F580">
        <v>3363</v>
      </c>
      <c r="G580" t="str">
        <f>"1031815908"</f>
        <v>1031815908</v>
      </c>
      <c r="H580" t="str">
        <f t="shared" si="155"/>
        <v>2025-12-03</v>
      </c>
      <c r="I580" t="str">
        <f>"2512038787"</f>
        <v>2512038787</v>
      </c>
      <c r="J580" t="str">
        <f t="shared" si="154"/>
        <v>DELIVERED</v>
      </c>
    </row>
    <row r="581" spans="1:10" x14ac:dyDescent="0.25">
      <c r="A581" t="str">
        <f>"0000112035"</f>
        <v>0000112035</v>
      </c>
      <c r="B581" t="str">
        <f>"0001101688"</f>
        <v>0001101688</v>
      </c>
      <c r="C581" t="str">
        <f t="shared" si="156"/>
        <v xml:space="preserve">TR40/24 </v>
      </c>
      <c r="D581" t="str">
        <f>"57"</f>
        <v>57</v>
      </c>
      <c r="E581">
        <v>13.705</v>
      </c>
      <c r="F581">
        <v>1313</v>
      </c>
      <c r="G581" t="str">
        <f>"1031813036"</f>
        <v>1031813036</v>
      </c>
      <c r="H581" t="str">
        <f t="shared" ref="H581:H612" si="157">"2025-12-04"</f>
        <v>2025-12-04</v>
      </c>
      <c r="I581" t="str">
        <f>"2512049298"</f>
        <v>2512049298</v>
      </c>
      <c r="J581" t="str">
        <f t="shared" si="154"/>
        <v>DELIVERED</v>
      </c>
    </row>
    <row r="582" spans="1:10" x14ac:dyDescent="0.25">
      <c r="A582" t="str">
        <f>"0000112035"</f>
        <v>0000112035</v>
      </c>
      <c r="B582" t="str">
        <f>"0001101688"</f>
        <v>0001101688</v>
      </c>
      <c r="C582" t="str">
        <f t="shared" si="156"/>
        <v xml:space="preserve">TR40/24 </v>
      </c>
      <c r="D582" t="str">
        <f>"57"</f>
        <v>57</v>
      </c>
      <c r="E582">
        <v>10.833</v>
      </c>
      <c r="F582">
        <v>3700</v>
      </c>
      <c r="G582" t="str">
        <f>"1031814360"</f>
        <v>1031814360</v>
      </c>
      <c r="H582" t="str">
        <f t="shared" si="157"/>
        <v>2025-12-04</v>
      </c>
      <c r="I582" t="str">
        <f>"2512038810"</f>
        <v>2512038810</v>
      </c>
      <c r="J582" t="str">
        <f t="shared" si="154"/>
        <v>DELIVERED</v>
      </c>
    </row>
    <row r="583" spans="1:10" x14ac:dyDescent="0.25">
      <c r="A583" t="str">
        <f>"0000112901"</f>
        <v>0000112901</v>
      </c>
      <c r="B583" t="str">
        <f>"0001101233"</f>
        <v>0001101233</v>
      </c>
      <c r="C583" t="str">
        <f t="shared" si="156"/>
        <v xml:space="preserve">TR40/24 </v>
      </c>
      <c r="D583" t="str">
        <f>"63"</f>
        <v>63</v>
      </c>
      <c r="E583">
        <v>3.3109999999999999</v>
      </c>
      <c r="F583">
        <v>935</v>
      </c>
      <c r="G583" t="str">
        <f>"1031816066"</f>
        <v>1031816066</v>
      </c>
      <c r="H583" t="str">
        <f t="shared" si="157"/>
        <v>2025-12-04</v>
      </c>
      <c r="I583" t="str">
        <f>"2512049381"</f>
        <v>2512049381</v>
      </c>
      <c r="J583" t="str">
        <f t="shared" ref="J583:J592" si="158">"DELIVERED"</f>
        <v>DELIVERED</v>
      </c>
    </row>
    <row r="584" spans="1:10" x14ac:dyDescent="0.25">
      <c r="A584" t="str">
        <f>"0000112901"</f>
        <v>0000112901</v>
      </c>
      <c r="B584" t="str">
        <f>"0001101233"</f>
        <v>0001101233</v>
      </c>
      <c r="C584" t="str">
        <f t="shared" si="156"/>
        <v xml:space="preserve">TR40/24 </v>
      </c>
      <c r="D584" t="str">
        <f>"63"</f>
        <v>63</v>
      </c>
      <c r="E584">
        <v>10.621</v>
      </c>
      <c r="F584">
        <v>2485</v>
      </c>
      <c r="G584" t="str">
        <f>"1031816547"</f>
        <v>1031816547</v>
      </c>
      <c r="H584" t="str">
        <f t="shared" si="157"/>
        <v>2025-12-04</v>
      </c>
      <c r="I584" t="str">
        <f>"2512049381"</f>
        <v>2512049381</v>
      </c>
      <c r="J584" t="str">
        <f t="shared" si="158"/>
        <v>DELIVERED</v>
      </c>
    </row>
    <row r="585" spans="1:10" x14ac:dyDescent="0.25">
      <c r="A585" t="str">
        <f t="shared" ref="A585:A590" si="159">"0000113219"</f>
        <v>0000113219</v>
      </c>
      <c r="B585" t="str">
        <f t="shared" ref="B585:B590" si="160">"0001102551"</f>
        <v>0001102551</v>
      </c>
      <c r="C585" t="str">
        <f t="shared" si="156"/>
        <v xml:space="preserve">TR40/24 </v>
      </c>
      <c r="D585" t="str">
        <f t="shared" ref="D585:D590" si="161">"58"</f>
        <v>58</v>
      </c>
      <c r="E585">
        <v>0.16600000000000001</v>
      </c>
      <c r="F585">
        <v>18</v>
      </c>
      <c r="G585" t="str">
        <f>"1031811819"</f>
        <v>1031811819</v>
      </c>
      <c r="H585" t="str">
        <f t="shared" si="157"/>
        <v>2025-12-04</v>
      </c>
      <c r="I585" t="str">
        <f t="shared" ref="I585:I590" si="162">"2512038794"</f>
        <v>2512038794</v>
      </c>
      <c r="J585" t="str">
        <f t="shared" si="158"/>
        <v>DELIVERED</v>
      </c>
    </row>
    <row r="586" spans="1:10" x14ac:dyDescent="0.25">
      <c r="A586" t="str">
        <f t="shared" si="159"/>
        <v>0000113219</v>
      </c>
      <c r="B586" t="str">
        <f t="shared" si="160"/>
        <v>0001102551</v>
      </c>
      <c r="C586" t="str">
        <f t="shared" si="156"/>
        <v xml:space="preserve">TR40/24 </v>
      </c>
      <c r="D586" t="str">
        <f t="shared" si="161"/>
        <v>58</v>
      </c>
      <c r="E586">
        <v>479.23599999999999</v>
      </c>
      <c r="F586">
        <v>762</v>
      </c>
      <c r="G586" t="str">
        <f>"1031811820"</f>
        <v>1031811820</v>
      </c>
      <c r="H586" t="str">
        <f t="shared" si="157"/>
        <v>2025-12-04</v>
      </c>
      <c r="I586" t="str">
        <f t="shared" si="162"/>
        <v>2512038794</v>
      </c>
      <c r="J586" t="str">
        <f t="shared" si="158"/>
        <v>DELIVERED</v>
      </c>
    </row>
    <row r="587" spans="1:10" x14ac:dyDescent="0.25">
      <c r="A587" t="str">
        <f t="shared" si="159"/>
        <v>0000113219</v>
      </c>
      <c r="B587" t="str">
        <f t="shared" si="160"/>
        <v>0001102551</v>
      </c>
      <c r="C587" t="str">
        <f t="shared" si="156"/>
        <v xml:space="preserve">TR40/24 </v>
      </c>
      <c r="D587" t="str">
        <f t="shared" si="161"/>
        <v>58</v>
      </c>
      <c r="E587">
        <v>2.528</v>
      </c>
      <c r="F587">
        <v>1066</v>
      </c>
      <c r="G587" t="str">
        <f>"1031811821"</f>
        <v>1031811821</v>
      </c>
      <c r="H587" t="str">
        <f t="shared" si="157"/>
        <v>2025-12-04</v>
      </c>
      <c r="I587" t="str">
        <f t="shared" si="162"/>
        <v>2512038794</v>
      </c>
      <c r="J587" t="str">
        <f t="shared" si="158"/>
        <v>DELIVERED</v>
      </c>
    </row>
    <row r="588" spans="1:10" x14ac:dyDescent="0.25">
      <c r="A588" t="str">
        <f t="shared" si="159"/>
        <v>0000113219</v>
      </c>
      <c r="B588" t="str">
        <f t="shared" si="160"/>
        <v>0001102551</v>
      </c>
      <c r="C588" t="str">
        <f t="shared" si="156"/>
        <v xml:space="preserve">TR40/24 </v>
      </c>
      <c r="D588" t="str">
        <f t="shared" si="161"/>
        <v>58</v>
      </c>
      <c r="E588">
        <v>2.4750000000000001</v>
      </c>
      <c r="F588">
        <v>507</v>
      </c>
      <c r="G588" t="str">
        <f>"1031811822"</f>
        <v>1031811822</v>
      </c>
      <c r="H588" t="str">
        <f t="shared" si="157"/>
        <v>2025-12-04</v>
      </c>
      <c r="I588" t="str">
        <f t="shared" si="162"/>
        <v>2512038794</v>
      </c>
      <c r="J588" t="str">
        <f t="shared" si="158"/>
        <v>DELIVERED</v>
      </c>
    </row>
    <row r="589" spans="1:10" x14ac:dyDescent="0.25">
      <c r="A589" t="str">
        <f t="shared" si="159"/>
        <v>0000113219</v>
      </c>
      <c r="B589" t="str">
        <f t="shared" si="160"/>
        <v>0001102551</v>
      </c>
      <c r="C589" t="str">
        <f t="shared" si="156"/>
        <v xml:space="preserve">TR40/24 </v>
      </c>
      <c r="D589" t="str">
        <f t="shared" si="161"/>
        <v>58</v>
      </c>
      <c r="E589">
        <v>2.8929999999999998</v>
      </c>
      <c r="F589">
        <v>1226</v>
      </c>
      <c r="G589" t="str">
        <f>"1031811823"</f>
        <v>1031811823</v>
      </c>
      <c r="H589" t="str">
        <f t="shared" si="157"/>
        <v>2025-12-04</v>
      </c>
      <c r="I589" t="str">
        <f t="shared" si="162"/>
        <v>2512038794</v>
      </c>
      <c r="J589" t="str">
        <f t="shared" si="158"/>
        <v>DELIVERED</v>
      </c>
    </row>
    <row r="590" spans="1:10" x14ac:dyDescent="0.25">
      <c r="A590" t="str">
        <f t="shared" si="159"/>
        <v>0000113219</v>
      </c>
      <c r="B590" t="str">
        <f t="shared" si="160"/>
        <v>0001102551</v>
      </c>
      <c r="C590" t="str">
        <f t="shared" si="156"/>
        <v xml:space="preserve">TR40/24 </v>
      </c>
      <c r="D590" t="str">
        <f t="shared" si="161"/>
        <v>58</v>
      </c>
      <c r="E590">
        <v>1.589</v>
      </c>
      <c r="F590">
        <v>193</v>
      </c>
      <c r="G590" t="str">
        <f>"1031811824"</f>
        <v>1031811824</v>
      </c>
      <c r="H590" t="str">
        <f t="shared" si="157"/>
        <v>2025-12-04</v>
      </c>
      <c r="I590" t="str">
        <f t="shared" si="162"/>
        <v>2512038794</v>
      </c>
      <c r="J590" t="str">
        <f t="shared" si="158"/>
        <v>DELIVERED</v>
      </c>
    </row>
    <row r="591" spans="1:10" x14ac:dyDescent="0.25">
      <c r="A591" t="str">
        <f>"0000113231"</f>
        <v>0000113231</v>
      </c>
      <c r="B591" t="str">
        <f>"0001104527"</f>
        <v>0001104527</v>
      </c>
      <c r="C591" t="str">
        <f t="shared" si="156"/>
        <v xml:space="preserve">TR40/24 </v>
      </c>
      <c r="D591" t="str">
        <f>"56"</f>
        <v>56</v>
      </c>
      <c r="E591">
        <v>2.3849999999999998</v>
      </c>
      <c r="F591">
        <v>439</v>
      </c>
      <c r="G591" t="str">
        <f>"1031813458"</f>
        <v>1031813458</v>
      </c>
      <c r="H591" t="str">
        <f t="shared" si="157"/>
        <v>2025-12-04</v>
      </c>
      <c r="I591" t="str">
        <f>"2512049181"</f>
        <v>2512049181</v>
      </c>
      <c r="J591" t="str">
        <f t="shared" si="158"/>
        <v>DELIVERED</v>
      </c>
    </row>
    <row r="592" spans="1:10" x14ac:dyDescent="0.25">
      <c r="A592" t="str">
        <f>"0000113231"</f>
        <v>0000113231</v>
      </c>
      <c r="B592" t="str">
        <f>"0001104527"</f>
        <v>0001104527</v>
      </c>
      <c r="C592" t="str">
        <f t="shared" si="156"/>
        <v xml:space="preserve">TR40/24 </v>
      </c>
      <c r="D592" t="str">
        <f>"56"</f>
        <v>56</v>
      </c>
      <c r="E592">
        <v>814.84900000000005</v>
      </c>
      <c r="F592">
        <v>1270</v>
      </c>
      <c r="G592" t="str">
        <f>"1031813461"</f>
        <v>1031813461</v>
      </c>
      <c r="H592" t="str">
        <f t="shared" si="157"/>
        <v>2025-12-04</v>
      </c>
      <c r="I592" t="str">
        <f>"2512049181"</f>
        <v>2512049181</v>
      </c>
      <c r="J592" t="str">
        <f t="shared" si="158"/>
        <v>DELIVERED</v>
      </c>
    </row>
    <row r="593" spans="1:10" x14ac:dyDescent="0.25">
      <c r="A593" t="str">
        <f>"0000113231"</f>
        <v>0000113231</v>
      </c>
      <c r="B593" t="str">
        <f>"0001104527"</f>
        <v>0001104527</v>
      </c>
      <c r="C593" t="str">
        <f t="shared" si="156"/>
        <v xml:space="preserve">TR40/24 </v>
      </c>
      <c r="D593" t="str">
        <f>"56"</f>
        <v>56</v>
      </c>
      <c r="E593">
        <v>1.607</v>
      </c>
      <c r="F593">
        <v>110</v>
      </c>
      <c r="G593" t="str">
        <f>"1031816695"</f>
        <v>1031816695</v>
      </c>
      <c r="H593" t="str">
        <f t="shared" si="157"/>
        <v>2025-12-04</v>
      </c>
      <c r="I593" t="str">
        <f>"2512049545"</f>
        <v>2512049545</v>
      </c>
      <c r="J593" t="str">
        <f>"NOT DELIVERED"</f>
        <v>NOT DELIVERED</v>
      </c>
    </row>
    <row r="594" spans="1:10" x14ac:dyDescent="0.25">
      <c r="A594" t="str">
        <f>"0000113362"</f>
        <v>0000113362</v>
      </c>
      <c r="B594" t="str">
        <f>"0001101727"</f>
        <v>0001101727</v>
      </c>
      <c r="C594" t="str">
        <f t="shared" si="156"/>
        <v xml:space="preserve">TR40/24 </v>
      </c>
      <c r="D594" t="str">
        <f>"73"</f>
        <v>73</v>
      </c>
      <c r="E594">
        <v>12.206</v>
      </c>
      <c r="F594">
        <v>1554</v>
      </c>
      <c r="G594" t="str">
        <f>"1031811002"</f>
        <v>1031811002</v>
      </c>
      <c r="H594" t="str">
        <f t="shared" si="157"/>
        <v>2025-12-04</v>
      </c>
      <c r="I594" t="str">
        <f>"2512037451"</f>
        <v>2512037451</v>
      </c>
      <c r="J594" t="str">
        <f>"DELIVERED"</f>
        <v>DELIVERED</v>
      </c>
    </row>
    <row r="595" spans="1:10" x14ac:dyDescent="0.25">
      <c r="A595" t="str">
        <f>"0000113362"</f>
        <v>0000113362</v>
      </c>
      <c r="B595" t="str">
        <f>"0001101727"</f>
        <v>0001101727</v>
      </c>
      <c r="C595" t="str">
        <f t="shared" ref="C595:C626" si="163">"TR40/24 "</f>
        <v xml:space="preserve">TR40/24 </v>
      </c>
      <c r="D595" t="str">
        <f>"73"</f>
        <v>73</v>
      </c>
      <c r="E595">
        <v>13.548</v>
      </c>
      <c r="F595">
        <v>1762</v>
      </c>
      <c r="G595" t="str">
        <f>"1031811010"</f>
        <v>1031811010</v>
      </c>
      <c r="H595" t="str">
        <f t="shared" si="157"/>
        <v>2025-12-04</v>
      </c>
      <c r="I595" t="str">
        <f>"2512047455"</f>
        <v>2512047455</v>
      </c>
      <c r="J595" t="str">
        <f>"DELIVERED"</f>
        <v>DELIVERED</v>
      </c>
    </row>
    <row r="596" spans="1:10" x14ac:dyDescent="0.25">
      <c r="A596" t="str">
        <f>"0000113362"</f>
        <v>0000113362</v>
      </c>
      <c r="B596" t="str">
        <f>"0001101727"</f>
        <v>0001101727</v>
      </c>
      <c r="C596" t="str">
        <f t="shared" si="163"/>
        <v xml:space="preserve">TR40/24 </v>
      </c>
      <c r="D596" t="str">
        <f>"73"</f>
        <v>73</v>
      </c>
      <c r="E596">
        <v>10.737</v>
      </c>
      <c r="F596">
        <v>948</v>
      </c>
      <c r="G596" t="str">
        <f>"1031811349"</f>
        <v>1031811349</v>
      </c>
      <c r="H596" t="str">
        <f t="shared" si="157"/>
        <v>2025-12-04</v>
      </c>
      <c r="I596" t="str">
        <f>"2512037452"</f>
        <v>2512037452</v>
      </c>
      <c r="J596" t="str">
        <f>"DELIVERED"</f>
        <v>DELIVERED</v>
      </c>
    </row>
    <row r="597" spans="1:10" x14ac:dyDescent="0.25">
      <c r="A597" t="str">
        <f t="shared" ref="A597:A603" si="164">"0000113388"</f>
        <v>0000113388</v>
      </c>
      <c r="B597" t="str">
        <f t="shared" ref="B597:B603" si="165">"0001101215"</f>
        <v>0001101215</v>
      </c>
      <c r="C597" t="str">
        <f t="shared" si="163"/>
        <v xml:space="preserve">TR40/24 </v>
      </c>
      <c r="D597" t="str">
        <f t="shared" ref="D597:D603" si="166">"55"</f>
        <v>55</v>
      </c>
      <c r="E597">
        <v>5.24</v>
      </c>
      <c r="F597">
        <v>64</v>
      </c>
      <c r="G597" t="str">
        <f>"1031811242"</f>
        <v>1031811242</v>
      </c>
      <c r="H597" t="str">
        <f t="shared" si="157"/>
        <v>2025-12-04</v>
      </c>
      <c r="I597" t="str">
        <f t="shared" ref="I597:I602" si="167">"2512049322"</f>
        <v>2512049322</v>
      </c>
      <c r="J597" t="str">
        <f t="shared" ref="J597:J602" si="168">"NOT DELIVERED"</f>
        <v>NOT DELIVERED</v>
      </c>
    </row>
    <row r="598" spans="1:10" x14ac:dyDescent="0.25">
      <c r="A598" t="str">
        <f t="shared" si="164"/>
        <v>0000113388</v>
      </c>
      <c r="B598" t="str">
        <f t="shared" si="165"/>
        <v>0001101215</v>
      </c>
      <c r="C598" t="str">
        <f t="shared" si="163"/>
        <v xml:space="preserve">TR40/24 </v>
      </c>
      <c r="D598" t="str">
        <f t="shared" si="166"/>
        <v>55</v>
      </c>
      <c r="E598">
        <v>3.2029999999999998</v>
      </c>
      <c r="F598">
        <v>510</v>
      </c>
      <c r="G598" t="str">
        <f>"1031811267"</f>
        <v>1031811267</v>
      </c>
      <c r="H598" t="str">
        <f t="shared" si="157"/>
        <v>2025-12-04</v>
      </c>
      <c r="I598" t="str">
        <f t="shared" si="167"/>
        <v>2512049322</v>
      </c>
      <c r="J598" t="str">
        <f t="shared" si="168"/>
        <v>NOT DELIVERED</v>
      </c>
    </row>
    <row r="599" spans="1:10" x14ac:dyDescent="0.25">
      <c r="A599" t="str">
        <f t="shared" si="164"/>
        <v>0000113388</v>
      </c>
      <c r="B599" t="str">
        <f t="shared" si="165"/>
        <v>0001101215</v>
      </c>
      <c r="C599" t="str">
        <f t="shared" si="163"/>
        <v xml:space="preserve">TR40/24 </v>
      </c>
      <c r="D599" t="str">
        <f t="shared" si="166"/>
        <v>55</v>
      </c>
      <c r="E599">
        <v>50.566000000000003</v>
      </c>
      <c r="F599">
        <v>70</v>
      </c>
      <c r="G599" t="str">
        <f>"1031811269"</f>
        <v>1031811269</v>
      </c>
      <c r="H599" t="str">
        <f t="shared" si="157"/>
        <v>2025-12-04</v>
      </c>
      <c r="I599" t="str">
        <f t="shared" si="167"/>
        <v>2512049322</v>
      </c>
      <c r="J599" t="str">
        <f t="shared" si="168"/>
        <v>NOT DELIVERED</v>
      </c>
    </row>
    <row r="600" spans="1:10" x14ac:dyDescent="0.25">
      <c r="A600" t="str">
        <f t="shared" si="164"/>
        <v>0000113388</v>
      </c>
      <c r="B600" t="str">
        <f t="shared" si="165"/>
        <v>0001101215</v>
      </c>
      <c r="C600" t="str">
        <f t="shared" si="163"/>
        <v xml:space="preserve">TR40/24 </v>
      </c>
      <c r="D600" t="str">
        <f t="shared" si="166"/>
        <v>55</v>
      </c>
      <c r="E600">
        <v>330.04500000000002</v>
      </c>
      <c r="F600">
        <v>448</v>
      </c>
      <c r="G600" t="str">
        <f>"1031811276"</f>
        <v>1031811276</v>
      </c>
      <c r="H600" t="str">
        <f t="shared" si="157"/>
        <v>2025-12-04</v>
      </c>
      <c r="I600" t="str">
        <f t="shared" si="167"/>
        <v>2512049322</v>
      </c>
      <c r="J600" t="str">
        <f t="shared" si="168"/>
        <v>NOT DELIVERED</v>
      </c>
    </row>
    <row r="601" spans="1:10" x14ac:dyDescent="0.25">
      <c r="A601" t="str">
        <f t="shared" si="164"/>
        <v>0000113388</v>
      </c>
      <c r="B601" t="str">
        <f t="shared" si="165"/>
        <v>0001101215</v>
      </c>
      <c r="C601" t="str">
        <f t="shared" si="163"/>
        <v xml:space="preserve">TR40/24 </v>
      </c>
      <c r="D601" t="str">
        <f t="shared" si="166"/>
        <v>55</v>
      </c>
      <c r="E601">
        <v>0.89100000000000001</v>
      </c>
      <c r="F601">
        <v>414</v>
      </c>
      <c r="G601" t="str">
        <f>"1031811288"</f>
        <v>1031811288</v>
      </c>
      <c r="H601" t="str">
        <f t="shared" si="157"/>
        <v>2025-12-04</v>
      </c>
      <c r="I601" t="str">
        <f t="shared" si="167"/>
        <v>2512049322</v>
      </c>
      <c r="J601" t="str">
        <f t="shared" si="168"/>
        <v>NOT DELIVERED</v>
      </c>
    </row>
    <row r="602" spans="1:10" x14ac:dyDescent="0.25">
      <c r="A602" t="str">
        <f t="shared" si="164"/>
        <v>0000113388</v>
      </c>
      <c r="B602" t="str">
        <f t="shared" si="165"/>
        <v>0001101215</v>
      </c>
      <c r="C602" t="str">
        <f t="shared" si="163"/>
        <v xml:space="preserve">TR40/24 </v>
      </c>
      <c r="D602" t="str">
        <f t="shared" si="166"/>
        <v>55</v>
      </c>
      <c r="E602">
        <v>996.80499999999995</v>
      </c>
      <c r="F602">
        <v>1512</v>
      </c>
      <c r="G602" t="str">
        <f>"1031811289"</f>
        <v>1031811289</v>
      </c>
      <c r="H602" t="str">
        <f t="shared" si="157"/>
        <v>2025-12-04</v>
      </c>
      <c r="I602" t="str">
        <f t="shared" si="167"/>
        <v>2512049322</v>
      </c>
      <c r="J602" t="str">
        <f t="shared" si="168"/>
        <v>NOT DELIVERED</v>
      </c>
    </row>
    <row r="603" spans="1:10" x14ac:dyDescent="0.25">
      <c r="A603" t="str">
        <f t="shared" si="164"/>
        <v>0000113388</v>
      </c>
      <c r="B603" t="str">
        <f t="shared" si="165"/>
        <v>0001101215</v>
      </c>
      <c r="C603" t="str">
        <f t="shared" si="163"/>
        <v xml:space="preserve">TR40/24 </v>
      </c>
      <c r="D603" t="str">
        <f t="shared" si="166"/>
        <v>55</v>
      </c>
      <c r="E603">
        <v>1007.553</v>
      </c>
      <c r="F603">
        <v>1490</v>
      </c>
      <c r="G603" t="str">
        <f>"1031815417"</f>
        <v>1031815417</v>
      </c>
      <c r="H603" t="str">
        <f t="shared" si="157"/>
        <v>2025-12-04</v>
      </c>
      <c r="I603" t="str">
        <f>"2512049179"</f>
        <v>2512049179</v>
      </c>
      <c r="J603" t="str">
        <f>"DELIVERED"</f>
        <v>DELIVERED</v>
      </c>
    </row>
    <row r="604" spans="1:10" x14ac:dyDescent="0.25">
      <c r="A604" t="str">
        <f>"0000113450"</f>
        <v>0000113450</v>
      </c>
      <c r="B604" t="str">
        <f>"0001104583"</f>
        <v>0001104583</v>
      </c>
      <c r="C604" t="str">
        <f t="shared" si="163"/>
        <v xml:space="preserve">TR40/24 </v>
      </c>
      <c r="D604" t="str">
        <f>"99"</f>
        <v>99</v>
      </c>
      <c r="E604">
        <v>800.39400000000001</v>
      </c>
      <c r="F604">
        <v>1167</v>
      </c>
      <c r="G604" t="str">
        <f>"1031814883"</f>
        <v>1031814883</v>
      </c>
      <c r="H604" t="str">
        <f t="shared" si="157"/>
        <v>2025-12-04</v>
      </c>
      <c r="I604" t="str">
        <f>"2512028396"</f>
        <v>2512028396</v>
      </c>
      <c r="J604" t="str">
        <f>"NOT DELIVERED"</f>
        <v>NOT DELIVERED</v>
      </c>
    </row>
    <row r="605" spans="1:10" x14ac:dyDescent="0.25">
      <c r="A605" t="str">
        <f>"0000113450"</f>
        <v>0000113450</v>
      </c>
      <c r="B605" t="str">
        <f>"0001104583"</f>
        <v>0001104583</v>
      </c>
      <c r="C605" t="str">
        <f t="shared" si="163"/>
        <v xml:space="preserve">TR40/24 </v>
      </c>
      <c r="D605" t="str">
        <f>"99"</f>
        <v>99</v>
      </c>
      <c r="E605">
        <v>934.27499999999998</v>
      </c>
      <c r="F605">
        <v>1493</v>
      </c>
      <c r="G605" t="str">
        <f>"1031814887"</f>
        <v>1031814887</v>
      </c>
      <c r="H605" t="str">
        <f t="shared" si="157"/>
        <v>2025-12-04</v>
      </c>
      <c r="I605" t="str">
        <f>"2512028397"</f>
        <v>2512028397</v>
      </c>
      <c r="J605" t="str">
        <f>"NOT DELIVERED"</f>
        <v>NOT DELIVERED</v>
      </c>
    </row>
    <row r="606" spans="1:10" x14ac:dyDescent="0.25">
      <c r="A606" t="str">
        <f t="shared" ref="A606:A613" si="169">"0000114068"</f>
        <v>0000114068</v>
      </c>
      <c r="B606" t="str">
        <f t="shared" ref="B606:B613" si="170">"0001101204"</f>
        <v>0001101204</v>
      </c>
      <c r="C606" t="str">
        <f t="shared" si="163"/>
        <v xml:space="preserve">TR40/24 </v>
      </c>
      <c r="D606" t="str">
        <f t="shared" ref="D606:D613" si="171">"33"</f>
        <v>33</v>
      </c>
      <c r="E606">
        <v>2.2069999999999999</v>
      </c>
      <c r="F606">
        <v>502</v>
      </c>
      <c r="G606" t="str">
        <f>"1031810085"</f>
        <v>1031810085</v>
      </c>
      <c r="H606" t="str">
        <f t="shared" si="157"/>
        <v>2025-12-04</v>
      </c>
      <c r="I606" t="str">
        <f>"2512028585"</f>
        <v>2512028585</v>
      </c>
      <c r="J606" t="str">
        <f t="shared" ref="J606:J645" si="172">"DELIVERED"</f>
        <v>DELIVERED</v>
      </c>
    </row>
    <row r="607" spans="1:10" x14ac:dyDescent="0.25">
      <c r="A607" t="str">
        <f t="shared" si="169"/>
        <v>0000114068</v>
      </c>
      <c r="B607" t="str">
        <f t="shared" si="170"/>
        <v>0001101204</v>
      </c>
      <c r="C607" t="str">
        <f t="shared" si="163"/>
        <v xml:space="preserve">TR40/24 </v>
      </c>
      <c r="D607" t="str">
        <f t="shared" si="171"/>
        <v>33</v>
      </c>
      <c r="E607">
        <v>1.74</v>
      </c>
      <c r="F607">
        <v>1345</v>
      </c>
      <c r="G607" t="str">
        <f>"1031810086"</f>
        <v>1031810086</v>
      </c>
      <c r="H607" t="str">
        <f t="shared" si="157"/>
        <v>2025-12-04</v>
      </c>
      <c r="I607" t="str">
        <f>"2512028585"</f>
        <v>2512028585</v>
      </c>
      <c r="J607" t="str">
        <f t="shared" si="172"/>
        <v>DELIVERED</v>
      </c>
    </row>
    <row r="608" spans="1:10" x14ac:dyDescent="0.25">
      <c r="A608" t="str">
        <f t="shared" si="169"/>
        <v>0000114068</v>
      </c>
      <c r="B608" t="str">
        <f t="shared" si="170"/>
        <v>0001101204</v>
      </c>
      <c r="C608" t="str">
        <f t="shared" si="163"/>
        <v xml:space="preserve">TR40/24 </v>
      </c>
      <c r="D608" t="str">
        <f t="shared" si="171"/>
        <v>33</v>
      </c>
      <c r="E608">
        <v>4.6059999999999999</v>
      </c>
      <c r="F608">
        <v>1253</v>
      </c>
      <c r="G608" t="str">
        <f>"1031810115"</f>
        <v>1031810115</v>
      </c>
      <c r="H608" t="str">
        <f t="shared" si="157"/>
        <v>2025-12-04</v>
      </c>
      <c r="I608" t="str">
        <f>"2512028585"</f>
        <v>2512028585</v>
      </c>
      <c r="J608" t="str">
        <f t="shared" si="172"/>
        <v>DELIVERED</v>
      </c>
    </row>
    <row r="609" spans="1:10" x14ac:dyDescent="0.25">
      <c r="A609" t="str">
        <f t="shared" si="169"/>
        <v>0000114068</v>
      </c>
      <c r="B609" t="str">
        <f t="shared" si="170"/>
        <v>0001101204</v>
      </c>
      <c r="C609" t="str">
        <f t="shared" si="163"/>
        <v xml:space="preserve">TR40/24 </v>
      </c>
      <c r="D609" t="str">
        <f t="shared" si="171"/>
        <v>33</v>
      </c>
      <c r="E609">
        <v>2.2909999999999999</v>
      </c>
      <c r="F609">
        <v>299</v>
      </c>
      <c r="G609" t="str">
        <f>"1031810116"</f>
        <v>1031810116</v>
      </c>
      <c r="H609" t="str">
        <f t="shared" si="157"/>
        <v>2025-12-04</v>
      </c>
      <c r="I609" t="str">
        <f>"2512028585"</f>
        <v>2512028585</v>
      </c>
      <c r="J609" t="str">
        <f t="shared" si="172"/>
        <v>DELIVERED</v>
      </c>
    </row>
    <row r="610" spans="1:10" x14ac:dyDescent="0.25">
      <c r="A610" t="str">
        <f t="shared" si="169"/>
        <v>0000114068</v>
      </c>
      <c r="B610" t="str">
        <f t="shared" si="170"/>
        <v>0001101204</v>
      </c>
      <c r="C610" t="str">
        <f t="shared" si="163"/>
        <v xml:space="preserve">TR40/24 </v>
      </c>
      <c r="D610" t="str">
        <f t="shared" si="171"/>
        <v>33</v>
      </c>
      <c r="E610">
        <v>6.4630000000000001</v>
      </c>
      <c r="F610">
        <v>4683</v>
      </c>
      <c r="G610" t="str">
        <f>"1031810117"</f>
        <v>1031810117</v>
      </c>
      <c r="H610" t="str">
        <f t="shared" si="157"/>
        <v>2025-12-04</v>
      </c>
      <c r="I610" t="str">
        <f>"2512028585"</f>
        <v>2512028585</v>
      </c>
      <c r="J610" t="str">
        <f t="shared" si="172"/>
        <v>DELIVERED</v>
      </c>
    </row>
    <row r="611" spans="1:10" x14ac:dyDescent="0.25">
      <c r="A611" t="str">
        <f t="shared" si="169"/>
        <v>0000114068</v>
      </c>
      <c r="B611" t="str">
        <f t="shared" si="170"/>
        <v>0001101204</v>
      </c>
      <c r="C611" t="str">
        <f t="shared" si="163"/>
        <v xml:space="preserve">TR40/24 </v>
      </c>
      <c r="D611" t="str">
        <f t="shared" si="171"/>
        <v>33</v>
      </c>
      <c r="E611">
        <v>2.319</v>
      </c>
      <c r="F611">
        <v>482</v>
      </c>
      <c r="G611" t="str">
        <f>"1031810536"</f>
        <v>1031810536</v>
      </c>
      <c r="H611" t="str">
        <f t="shared" si="157"/>
        <v>2025-12-04</v>
      </c>
      <c r="I611" t="str">
        <f>"2512028581"</f>
        <v>2512028581</v>
      </c>
      <c r="J611" t="str">
        <f t="shared" si="172"/>
        <v>DELIVERED</v>
      </c>
    </row>
    <row r="612" spans="1:10" x14ac:dyDescent="0.25">
      <c r="A612" t="str">
        <f t="shared" si="169"/>
        <v>0000114068</v>
      </c>
      <c r="B612" t="str">
        <f t="shared" si="170"/>
        <v>0001101204</v>
      </c>
      <c r="C612" t="str">
        <f t="shared" si="163"/>
        <v xml:space="preserve">TR40/24 </v>
      </c>
      <c r="D612" t="str">
        <f t="shared" si="171"/>
        <v>33</v>
      </c>
      <c r="E612">
        <v>4.3529999999999998</v>
      </c>
      <c r="F612">
        <v>1190</v>
      </c>
      <c r="G612" t="str">
        <f>"1031810537"</f>
        <v>1031810537</v>
      </c>
      <c r="H612" t="str">
        <f t="shared" si="157"/>
        <v>2025-12-04</v>
      </c>
      <c r="I612" t="str">
        <f>"2512028581"</f>
        <v>2512028581</v>
      </c>
      <c r="J612" t="str">
        <f t="shared" si="172"/>
        <v>DELIVERED</v>
      </c>
    </row>
    <row r="613" spans="1:10" x14ac:dyDescent="0.25">
      <c r="A613" t="str">
        <f t="shared" si="169"/>
        <v>0000114068</v>
      </c>
      <c r="B613" t="str">
        <f t="shared" si="170"/>
        <v>0001101204</v>
      </c>
      <c r="C613" t="str">
        <f t="shared" si="163"/>
        <v xml:space="preserve">TR40/24 </v>
      </c>
      <c r="D613" t="str">
        <f t="shared" si="171"/>
        <v>33</v>
      </c>
      <c r="E613">
        <v>7.5670000000000002</v>
      </c>
      <c r="F613">
        <v>3575</v>
      </c>
      <c r="G613" t="str">
        <f>"1031810538"</f>
        <v>1031810538</v>
      </c>
      <c r="H613" t="str">
        <f t="shared" ref="H613:H644" si="173">"2025-12-04"</f>
        <v>2025-12-04</v>
      </c>
      <c r="I613" t="str">
        <f>"2512028581"</f>
        <v>2512028581</v>
      </c>
      <c r="J613" t="str">
        <f t="shared" si="172"/>
        <v>DELIVERED</v>
      </c>
    </row>
    <row r="614" spans="1:10" x14ac:dyDescent="0.25">
      <c r="A614" t="str">
        <f>"0000114070"</f>
        <v>0000114070</v>
      </c>
      <c r="B614" t="str">
        <f>"0001104284"</f>
        <v>0001104284</v>
      </c>
      <c r="C614" t="str">
        <f t="shared" si="163"/>
        <v xml:space="preserve">TR40/24 </v>
      </c>
      <c r="D614" t="str">
        <f>"06"</f>
        <v>06</v>
      </c>
      <c r="E614">
        <v>22.042000000000002</v>
      </c>
      <c r="F614">
        <v>1277</v>
      </c>
      <c r="G614" t="str">
        <f>"1031813999"</f>
        <v>1031813999</v>
      </c>
      <c r="H614" t="str">
        <f t="shared" si="173"/>
        <v>2025-12-04</v>
      </c>
      <c r="I614" t="str">
        <f>"2511307759"</f>
        <v>2511307759</v>
      </c>
      <c r="J614" t="str">
        <f t="shared" si="172"/>
        <v>DELIVERED</v>
      </c>
    </row>
    <row r="615" spans="1:10" x14ac:dyDescent="0.25">
      <c r="A615" t="str">
        <f>"0000114070"</f>
        <v>0000114070</v>
      </c>
      <c r="B615" t="str">
        <f>"0001104284"</f>
        <v>0001104284</v>
      </c>
      <c r="C615" t="str">
        <f t="shared" si="163"/>
        <v xml:space="preserve">TR40/24 </v>
      </c>
      <c r="D615" t="str">
        <f>"06"</f>
        <v>06</v>
      </c>
      <c r="E615">
        <v>6.375</v>
      </c>
      <c r="F615">
        <v>2113</v>
      </c>
      <c r="G615" t="str">
        <f>"1031814220"</f>
        <v>1031814220</v>
      </c>
      <c r="H615" t="str">
        <f t="shared" si="173"/>
        <v>2025-12-04</v>
      </c>
      <c r="I615" t="str">
        <f>"2512049325"</f>
        <v>2512049325</v>
      </c>
      <c r="J615" t="str">
        <f t="shared" si="172"/>
        <v>DELIVERED</v>
      </c>
    </row>
    <row r="616" spans="1:10" x14ac:dyDescent="0.25">
      <c r="A616" t="str">
        <f>"0000114070"</f>
        <v>0000114070</v>
      </c>
      <c r="B616" t="str">
        <f>"0001104284"</f>
        <v>0001104284</v>
      </c>
      <c r="C616" t="str">
        <f t="shared" si="163"/>
        <v xml:space="preserve">TR40/24 </v>
      </c>
      <c r="D616" t="str">
        <f>"06"</f>
        <v>06</v>
      </c>
      <c r="E616">
        <v>0.89900000000000002</v>
      </c>
      <c r="F616">
        <v>273</v>
      </c>
      <c r="G616" t="str">
        <f>"1031814222"</f>
        <v>1031814222</v>
      </c>
      <c r="H616" t="str">
        <f t="shared" si="173"/>
        <v>2025-12-04</v>
      </c>
      <c r="I616" t="str">
        <f>"2512049325"</f>
        <v>2512049325</v>
      </c>
      <c r="J616" t="str">
        <f t="shared" si="172"/>
        <v>DELIVERED</v>
      </c>
    </row>
    <row r="617" spans="1:10" x14ac:dyDescent="0.25">
      <c r="A617" t="str">
        <f t="shared" ref="A617:A623" si="174">"0000114098"</f>
        <v>0000114098</v>
      </c>
      <c r="B617" t="str">
        <f t="shared" ref="B617:B623" si="175">"0001101400"</f>
        <v>0001101400</v>
      </c>
      <c r="C617" t="str">
        <f t="shared" si="163"/>
        <v xml:space="preserve">TR40/24 </v>
      </c>
      <c r="D617" t="str">
        <f t="shared" ref="D617:D623" si="176">"65"</f>
        <v>65</v>
      </c>
      <c r="E617">
        <v>6.6879999999999997</v>
      </c>
      <c r="F617">
        <v>1942</v>
      </c>
      <c r="G617" t="str">
        <f>"1031814019"</f>
        <v>1031814019</v>
      </c>
      <c r="H617" t="str">
        <f t="shared" si="173"/>
        <v>2025-12-04</v>
      </c>
      <c r="I617" t="str">
        <f t="shared" ref="I617:I622" si="177">"2512038792"</f>
        <v>2512038792</v>
      </c>
      <c r="J617" t="str">
        <f t="shared" si="172"/>
        <v>DELIVERED</v>
      </c>
    </row>
    <row r="618" spans="1:10" x14ac:dyDescent="0.25">
      <c r="A618" t="str">
        <f t="shared" si="174"/>
        <v>0000114098</v>
      </c>
      <c r="B618" t="str">
        <f t="shared" si="175"/>
        <v>0001101400</v>
      </c>
      <c r="C618" t="str">
        <f t="shared" si="163"/>
        <v xml:space="preserve">TR40/24 </v>
      </c>
      <c r="D618" t="str">
        <f t="shared" si="176"/>
        <v>65</v>
      </c>
      <c r="E618">
        <v>1.1919999999999999</v>
      </c>
      <c r="F618">
        <v>457</v>
      </c>
      <c r="G618" t="str">
        <f>"1031814020"</f>
        <v>1031814020</v>
      </c>
      <c r="H618" t="str">
        <f t="shared" si="173"/>
        <v>2025-12-04</v>
      </c>
      <c r="I618" t="str">
        <f t="shared" si="177"/>
        <v>2512038792</v>
      </c>
      <c r="J618" t="str">
        <f t="shared" si="172"/>
        <v>DELIVERED</v>
      </c>
    </row>
    <row r="619" spans="1:10" x14ac:dyDescent="0.25">
      <c r="A619" t="str">
        <f t="shared" si="174"/>
        <v>0000114098</v>
      </c>
      <c r="B619" t="str">
        <f t="shared" si="175"/>
        <v>0001101400</v>
      </c>
      <c r="C619" t="str">
        <f t="shared" si="163"/>
        <v xml:space="preserve">TR40/24 </v>
      </c>
      <c r="D619" t="str">
        <f t="shared" si="176"/>
        <v>65</v>
      </c>
      <c r="E619">
        <v>2.2149999999999999</v>
      </c>
      <c r="F619">
        <v>1027</v>
      </c>
      <c r="G619" t="str">
        <f>"1031815036"</f>
        <v>1031815036</v>
      </c>
      <c r="H619" t="str">
        <f t="shared" si="173"/>
        <v>2025-12-04</v>
      </c>
      <c r="I619" t="str">
        <f t="shared" si="177"/>
        <v>2512038792</v>
      </c>
      <c r="J619" t="str">
        <f t="shared" si="172"/>
        <v>DELIVERED</v>
      </c>
    </row>
    <row r="620" spans="1:10" x14ac:dyDescent="0.25">
      <c r="A620" t="str">
        <f t="shared" si="174"/>
        <v>0000114098</v>
      </c>
      <c r="B620" t="str">
        <f t="shared" si="175"/>
        <v>0001101400</v>
      </c>
      <c r="C620" t="str">
        <f t="shared" si="163"/>
        <v xml:space="preserve">TR40/24 </v>
      </c>
      <c r="D620" t="str">
        <f t="shared" si="176"/>
        <v>65</v>
      </c>
      <c r="E620">
        <v>1.466</v>
      </c>
      <c r="F620">
        <v>580</v>
      </c>
      <c r="G620" t="str">
        <f>"1031815037"</f>
        <v>1031815037</v>
      </c>
      <c r="H620" t="str">
        <f t="shared" si="173"/>
        <v>2025-12-04</v>
      </c>
      <c r="I620" t="str">
        <f t="shared" si="177"/>
        <v>2512038792</v>
      </c>
      <c r="J620" t="str">
        <f t="shared" si="172"/>
        <v>DELIVERED</v>
      </c>
    </row>
    <row r="621" spans="1:10" x14ac:dyDescent="0.25">
      <c r="A621" t="str">
        <f t="shared" si="174"/>
        <v>0000114098</v>
      </c>
      <c r="B621" t="str">
        <f t="shared" si="175"/>
        <v>0001101400</v>
      </c>
      <c r="C621" t="str">
        <f t="shared" si="163"/>
        <v xml:space="preserve">TR40/24 </v>
      </c>
      <c r="D621" t="str">
        <f t="shared" si="176"/>
        <v>65</v>
      </c>
      <c r="E621">
        <v>4.9470000000000001</v>
      </c>
      <c r="F621">
        <v>1236</v>
      </c>
      <c r="G621" t="str">
        <f>"1031815038"</f>
        <v>1031815038</v>
      </c>
      <c r="H621" t="str">
        <f t="shared" si="173"/>
        <v>2025-12-04</v>
      </c>
      <c r="I621" t="str">
        <f t="shared" si="177"/>
        <v>2512038792</v>
      </c>
      <c r="J621" t="str">
        <f t="shared" si="172"/>
        <v>DELIVERED</v>
      </c>
    </row>
    <row r="622" spans="1:10" x14ac:dyDescent="0.25">
      <c r="A622" t="str">
        <f t="shared" si="174"/>
        <v>0000114098</v>
      </c>
      <c r="B622" t="str">
        <f t="shared" si="175"/>
        <v>0001101400</v>
      </c>
      <c r="C622" t="str">
        <f t="shared" si="163"/>
        <v xml:space="preserve">TR40/24 </v>
      </c>
      <c r="D622" t="str">
        <f t="shared" si="176"/>
        <v>65</v>
      </c>
      <c r="E622">
        <v>0.76400000000000001</v>
      </c>
      <c r="F622">
        <v>369</v>
      </c>
      <c r="G622" t="str">
        <f>"1031815039"</f>
        <v>1031815039</v>
      </c>
      <c r="H622" t="str">
        <f t="shared" si="173"/>
        <v>2025-12-04</v>
      </c>
      <c r="I622" t="str">
        <f t="shared" si="177"/>
        <v>2512038792</v>
      </c>
      <c r="J622" t="str">
        <f t="shared" si="172"/>
        <v>DELIVERED</v>
      </c>
    </row>
    <row r="623" spans="1:10" x14ac:dyDescent="0.25">
      <c r="A623" t="str">
        <f t="shared" si="174"/>
        <v>0000114098</v>
      </c>
      <c r="B623" t="str">
        <f t="shared" si="175"/>
        <v>0001101400</v>
      </c>
      <c r="C623" t="str">
        <f t="shared" si="163"/>
        <v xml:space="preserve">TR40/24 </v>
      </c>
      <c r="D623" t="str">
        <f t="shared" si="176"/>
        <v>65</v>
      </c>
      <c r="E623">
        <v>0.183</v>
      </c>
      <c r="F623">
        <v>48</v>
      </c>
      <c r="G623" t="str">
        <f>"1031817931"</f>
        <v>1031817931</v>
      </c>
      <c r="H623" t="str">
        <f t="shared" si="173"/>
        <v>2025-12-04</v>
      </c>
      <c r="I623" t="str">
        <f>"2512049818"</f>
        <v>2512049818</v>
      </c>
      <c r="J623" t="str">
        <f t="shared" si="172"/>
        <v>DELIVERED</v>
      </c>
    </row>
    <row r="624" spans="1:10" x14ac:dyDescent="0.25">
      <c r="A624" t="str">
        <f>"0000114114"</f>
        <v>0000114114</v>
      </c>
      <c r="B624" t="str">
        <f>"0001101798"</f>
        <v>0001101798</v>
      </c>
      <c r="C624" t="str">
        <f t="shared" si="163"/>
        <v xml:space="preserve">TR40/24 </v>
      </c>
      <c r="D624" t="str">
        <f>"01"</f>
        <v>01</v>
      </c>
      <c r="E624">
        <v>15.503</v>
      </c>
      <c r="F624">
        <v>2114</v>
      </c>
      <c r="G624" t="str">
        <f>"1031816638"</f>
        <v>1031816638</v>
      </c>
      <c r="H624" t="str">
        <f t="shared" si="173"/>
        <v>2025-12-04</v>
      </c>
      <c r="I624" t="str">
        <f>"2512049517"</f>
        <v>2512049517</v>
      </c>
      <c r="J624" t="str">
        <f t="shared" si="172"/>
        <v>DELIVERED</v>
      </c>
    </row>
    <row r="625" spans="1:10" x14ac:dyDescent="0.25">
      <c r="A625" t="str">
        <f>"0000114114"</f>
        <v>0000114114</v>
      </c>
      <c r="B625" t="str">
        <f>"0001101798"</f>
        <v>0001101798</v>
      </c>
      <c r="C625" t="str">
        <f t="shared" si="163"/>
        <v xml:space="preserve">TR40/24 </v>
      </c>
      <c r="D625" t="str">
        <f>"01"</f>
        <v>01</v>
      </c>
      <c r="E625">
        <v>13.266999999999999</v>
      </c>
      <c r="F625">
        <v>1341</v>
      </c>
      <c r="G625" t="str">
        <f>"1031816640"</f>
        <v>1031816640</v>
      </c>
      <c r="H625" t="str">
        <f t="shared" si="173"/>
        <v>2025-12-04</v>
      </c>
      <c r="I625" t="str">
        <f>"2512049517"</f>
        <v>2512049517</v>
      </c>
      <c r="J625" t="str">
        <f t="shared" si="172"/>
        <v>DELIVERED</v>
      </c>
    </row>
    <row r="626" spans="1:10" x14ac:dyDescent="0.25">
      <c r="A626" t="str">
        <f>"0000114114"</f>
        <v>0000114114</v>
      </c>
      <c r="B626" t="str">
        <f>"0001101798"</f>
        <v>0001101798</v>
      </c>
      <c r="C626" t="str">
        <f t="shared" si="163"/>
        <v xml:space="preserve">TR40/24 </v>
      </c>
      <c r="D626" t="str">
        <f>"01"</f>
        <v>01</v>
      </c>
      <c r="E626">
        <v>14.385</v>
      </c>
      <c r="F626">
        <v>1964</v>
      </c>
      <c r="G626" t="str">
        <f>"1031817473"</f>
        <v>1031817473</v>
      </c>
      <c r="H626" t="str">
        <f t="shared" si="173"/>
        <v>2025-12-04</v>
      </c>
      <c r="I626" t="str">
        <f>"2512049524"</f>
        <v>2512049524</v>
      </c>
      <c r="J626" t="str">
        <f t="shared" si="172"/>
        <v>DELIVERED</v>
      </c>
    </row>
    <row r="627" spans="1:10" x14ac:dyDescent="0.25">
      <c r="A627" t="str">
        <f>"0000114114"</f>
        <v>0000114114</v>
      </c>
      <c r="B627" t="str">
        <f>"0001101798"</f>
        <v>0001101798</v>
      </c>
      <c r="C627" t="str">
        <f t="shared" ref="C627:C658" si="178">"TR40/24 "</f>
        <v xml:space="preserve">TR40/24 </v>
      </c>
      <c r="D627" t="str">
        <f>"01"</f>
        <v>01</v>
      </c>
      <c r="E627">
        <v>5.468</v>
      </c>
      <c r="F627">
        <v>1101</v>
      </c>
      <c r="G627" t="str">
        <f>"1031817474"</f>
        <v>1031817474</v>
      </c>
      <c r="H627" t="str">
        <f t="shared" si="173"/>
        <v>2025-12-04</v>
      </c>
      <c r="I627" t="str">
        <f>"2512049524"</f>
        <v>2512049524</v>
      </c>
      <c r="J627" t="str">
        <f t="shared" si="172"/>
        <v>DELIVERED</v>
      </c>
    </row>
    <row r="628" spans="1:10" x14ac:dyDescent="0.25">
      <c r="A628" t="str">
        <f>"0000114156"</f>
        <v>0000114156</v>
      </c>
      <c r="B628" t="str">
        <f>"0001101505"</f>
        <v>0001101505</v>
      </c>
      <c r="C628" t="str">
        <f t="shared" si="178"/>
        <v xml:space="preserve">TR40/24 </v>
      </c>
      <c r="D628" t="str">
        <f>"33"</f>
        <v>33</v>
      </c>
      <c r="E628">
        <v>2.339</v>
      </c>
      <c r="F628">
        <v>1329</v>
      </c>
      <c r="G628" t="str">
        <f>"1031811144"</f>
        <v>1031811144</v>
      </c>
      <c r="H628" t="str">
        <f t="shared" si="173"/>
        <v>2025-12-04</v>
      </c>
      <c r="I628" t="str">
        <f>"2512049302"</f>
        <v>2512049302</v>
      </c>
      <c r="J628" t="str">
        <f t="shared" si="172"/>
        <v>DELIVERED</v>
      </c>
    </row>
    <row r="629" spans="1:10" x14ac:dyDescent="0.25">
      <c r="A629" t="str">
        <f>"0000114156"</f>
        <v>0000114156</v>
      </c>
      <c r="B629" t="str">
        <f>"0001101505"</f>
        <v>0001101505</v>
      </c>
      <c r="C629" t="str">
        <f t="shared" si="178"/>
        <v xml:space="preserve">TR40/24 </v>
      </c>
      <c r="D629" t="str">
        <f>"33"</f>
        <v>33</v>
      </c>
      <c r="E629">
        <v>5.8920000000000003</v>
      </c>
      <c r="F629">
        <v>1479</v>
      </c>
      <c r="G629" t="str">
        <f>"1031811145"</f>
        <v>1031811145</v>
      </c>
      <c r="H629" t="str">
        <f t="shared" si="173"/>
        <v>2025-12-04</v>
      </c>
      <c r="I629" t="str">
        <f>"2512049302"</f>
        <v>2512049302</v>
      </c>
      <c r="J629" t="str">
        <f t="shared" si="172"/>
        <v>DELIVERED</v>
      </c>
    </row>
    <row r="630" spans="1:10" x14ac:dyDescent="0.25">
      <c r="A630" t="str">
        <f>"0000114156"</f>
        <v>0000114156</v>
      </c>
      <c r="B630" t="str">
        <f>"0001101505"</f>
        <v>0001101505</v>
      </c>
      <c r="C630" t="str">
        <f t="shared" si="178"/>
        <v xml:space="preserve">TR40/24 </v>
      </c>
      <c r="D630" t="str">
        <f>"33"</f>
        <v>33</v>
      </c>
      <c r="E630">
        <v>2.1419999999999999</v>
      </c>
      <c r="F630">
        <v>947</v>
      </c>
      <c r="G630" t="str">
        <f>"1031811147"</f>
        <v>1031811147</v>
      </c>
      <c r="H630" t="str">
        <f t="shared" si="173"/>
        <v>2025-12-04</v>
      </c>
      <c r="I630" t="str">
        <f>"2512049302"</f>
        <v>2512049302</v>
      </c>
      <c r="J630" t="str">
        <f t="shared" si="172"/>
        <v>DELIVERED</v>
      </c>
    </row>
    <row r="631" spans="1:10" x14ac:dyDescent="0.25">
      <c r="A631" t="str">
        <f>"0000114156"</f>
        <v>0000114156</v>
      </c>
      <c r="B631" t="str">
        <f>"0001101505"</f>
        <v>0001101505</v>
      </c>
      <c r="C631" t="str">
        <f t="shared" si="178"/>
        <v xml:space="preserve">TR40/24 </v>
      </c>
      <c r="D631" t="str">
        <f>"33"</f>
        <v>33</v>
      </c>
      <c r="E631">
        <v>6.399</v>
      </c>
      <c r="F631">
        <v>1864</v>
      </c>
      <c r="G631" t="str">
        <f>"1031811151"</f>
        <v>1031811151</v>
      </c>
      <c r="H631" t="str">
        <f t="shared" si="173"/>
        <v>2025-12-04</v>
      </c>
      <c r="I631" t="str">
        <f>"2512049302"</f>
        <v>2512049302</v>
      </c>
      <c r="J631" t="str">
        <f t="shared" si="172"/>
        <v>DELIVERED</v>
      </c>
    </row>
    <row r="632" spans="1:10" x14ac:dyDescent="0.25">
      <c r="A632" t="str">
        <f t="shared" ref="A632:A637" si="179">"0000114192"</f>
        <v>0000114192</v>
      </c>
      <c r="B632" t="str">
        <f t="shared" ref="B632:B637" si="180">"0001101504"</f>
        <v>0001101504</v>
      </c>
      <c r="C632" t="str">
        <f t="shared" si="178"/>
        <v xml:space="preserve">TR40/24 </v>
      </c>
      <c r="D632" t="str">
        <f t="shared" ref="D632:D637" si="181">"58"</f>
        <v>58</v>
      </c>
      <c r="E632">
        <v>1091.0940000000001</v>
      </c>
      <c r="F632">
        <v>1632</v>
      </c>
      <c r="G632" t="str">
        <f>"1031814081"</f>
        <v>1031814081</v>
      </c>
      <c r="H632" t="str">
        <f t="shared" si="173"/>
        <v>2025-12-04</v>
      </c>
      <c r="I632" t="str">
        <f>"2512049179"</f>
        <v>2512049179</v>
      </c>
      <c r="J632" t="str">
        <f t="shared" si="172"/>
        <v>DELIVERED</v>
      </c>
    </row>
    <row r="633" spans="1:10" x14ac:dyDescent="0.25">
      <c r="A633" t="str">
        <f t="shared" si="179"/>
        <v>0000114192</v>
      </c>
      <c r="B633" t="str">
        <f t="shared" si="180"/>
        <v>0001101504</v>
      </c>
      <c r="C633" t="str">
        <f t="shared" si="178"/>
        <v xml:space="preserve">TR40/24 </v>
      </c>
      <c r="D633" t="str">
        <f t="shared" si="181"/>
        <v>58</v>
      </c>
      <c r="E633">
        <v>554.78399999999999</v>
      </c>
      <c r="F633">
        <v>1080</v>
      </c>
      <c r="G633" t="str">
        <f>"1031814082"</f>
        <v>1031814082</v>
      </c>
      <c r="H633" t="str">
        <f t="shared" si="173"/>
        <v>2025-12-04</v>
      </c>
      <c r="I633" t="str">
        <f>"2512028395"</f>
        <v>2512028395</v>
      </c>
      <c r="J633" t="str">
        <f t="shared" si="172"/>
        <v>DELIVERED</v>
      </c>
    </row>
    <row r="634" spans="1:10" x14ac:dyDescent="0.25">
      <c r="A634" t="str">
        <f t="shared" si="179"/>
        <v>0000114192</v>
      </c>
      <c r="B634" t="str">
        <f t="shared" si="180"/>
        <v>0001101504</v>
      </c>
      <c r="C634" t="str">
        <f t="shared" si="178"/>
        <v xml:space="preserve">TR40/24 </v>
      </c>
      <c r="D634" t="str">
        <f t="shared" si="181"/>
        <v>58</v>
      </c>
      <c r="E634">
        <v>19.216999999999999</v>
      </c>
      <c r="F634">
        <v>556</v>
      </c>
      <c r="G634" t="str">
        <f>"1031814466"</f>
        <v>1031814466</v>
      </c>
      <c r="H634" t="str">
        <f t="shared" si="173"/>
        <v>2025-12-04</v>
      </c>
      <c r="I634" t="str">
        <f>"2512049479"</f>
        <v>2512049479</v>
      </c>
      <c r="J634" t="str">
        <f t="shared" si="172"/>
        <v>DELIVERED</v>
      </c>
    </row>
    <row r="635" spans="1:10" x14ac:dyDescent="0.25">
      <c r="A635" t="str">
        <f t="shared" si="179"/>
        <v>0000114192</v>
      </c>
      <c r="B635" t="str">
        <f t="shared" si="180"/>
        <v>0001101504</v>
      </c>
      <c r="C635" t="str">
        <f t="shared" si="178"/>
        <v xml:space="preserve">TR40/24 </v>
      </c>
      <c r="D635" t="str">
        <f t="shared" si="181"/>
        <v>58</v>
      </c>
      <c r="E635">
        <v>13.851000000000001</v>
      </c>
      <c r="F635">
        <v>964</v>
      </c>
      <c r="G635" t="str">
        <f>"1031814894"</f>
        <v>1031814894</v>
      </c>
      <c r="H635" t="str">
        <f t="shared" si="173"/>
        <v>2025-12-04</v>
      </c>
      <c r="I635" t="str">
        <f>"2512038912"</f>
        <v>2512038912</v>
      </c>
      <c r="J635" t="str">
        <f t="shared" si="172"/>
        <v>DELIVERED</v>
      </c>
    </row>
    <row r="636" spans="1:10" x14ac:dyDescent="0.25">
      <c r="A636" t="str">
        <f t="shared" si="179"/>
        <v>0000114192</v>
      </c>
      <c r="B636" t="str">
        <f t="shared" si="180"/>
        <v>0001101504</v>
      </c>
      <c r="C636" t="str">
        <f t="shared" si="178"/>
        <v xml:space="preserve">TR40/24 </v>
      </c>
      <c r="D636" t="str">
        <f t="shared" si="181"/>
        <v>58</v>
      </c>
      <c r="E636">
        <v>7.5759999999999996</v>
      </c>
      <c r="F636">
        <v>1986</v>
      </c>
      <c r="G636" t="str">
        <f>"1031814912"</f>
        <v>1031814912</v>
      </c>
      <c r="H636" t="str">
        <f t="shared" si="173"/>
        <v>2025-12-04</v>
      </c>
      <c r="I636" t="str">
        <f>"2512049479"</f>
        <v>2512049479</v>
      </c>
      <c r="J636" t="str">
        <f t="shared" si="172"/>
        <v>DELIVERED</v>
      </c>
    </row>
    <row r="637" spans="1:10" x14ac:dyDescent="0.25">
      <c r="A637" t="str">
        <f t="shared" si="179"/>
        <v>0000114192</v>
      </c>
      <c r="B637" t="str">
        <f t="shared" si="180"/>
        <v>0001101504</v>
      </c>
      <c r="C637" t="str">
        <f t="shared" si="178"/>
        <v xml:space="preserve">TR40/24 </v>
      </c>
      <c r="D637" t="str">
        <f t="shared" si="181"/>
        <v>58</v>
      </c>
      <c r="E637">
        <v>2.7909999999999999</v>
      </c>
      <c r="F637">
        <v>856</v>
      </c>
      <c r="G637" t="str">
        <f>"1031815499"</f>
        <v>1031815499</v>
      </c>
      <c r="H637" t="str">
        <f t="shared" si="173"/>
        <v>2025-12-04</v>
      </c>
      <c r="I637" t="str">
        <f>"2512038912"</f>
        <v>2512038912</v>
      </c>
      <c r="J637" t="str">
        <f t="shared" si="172"/>
        <v>DELIVERED</v>
      </c>
    </row>
    <row r="638" spans="1:10" x14ac:dyDescent="0.25">
      <c r="A638" t="str">
        <f>"0000114208"</f>
        <v>0000114208</v>
      </c>
      <c r="B638" t="str">
        <f>"0001101688"</f>
        <v>0001101688</v>
      </c>
      <c r="C638" t="str">
        <f t="shared" si="178"/>
        <v xml:space="preserve">TR40/24 </v>
      </c>
      <c r="D638" t="str">
        <f>"81"</f>
        <v>81</v>
      </c>
      <c r="E638">
        <v>3134.1280000000002</v>
      </c>
      <c r="F638">
        <v>4136</v>
      </c>
      <c r="G638" t="str">
        <f>"1031816477"</f>
        <v>1031816477</v>
      </c>
      <c r="H638" t="str">
        <f t="shared" si="173"/>
        <v>2025-12-04</v>
      </c>
      <c r="I638" t="str">
        <f>"2512048753"</f>
        <v>2512048753</v>
      </c>
      <c r="J638" t="str">
        <f t="shared" si="172"/>
        <v>DELIVERED</v>
      </c>
    </row>
    <row r="639" spans="1:10" x14ac:dyDescent="0.25">
      <c r="A639" t="str">
        <f>"0000114248"</f>
        <v>0000114248</v>
      </c>
      <c r="B639" t="str">
        <f>"0001101510"</f>
        <v>0001101510</v>
      </c>
      <c r="C639" t="str">
        <f t="shared" si="178"/>
        <v xml:space="preserve">TR40/24 </v>
      </c>
      <c r="D639" t="str">
        <f>"14"</f>
        <v>14</v>
      </c>
      <c r="E639">
        <v>3.7690000000000001</v>
      </c>
      <c r="F639">
        <v>1520</v>
      </c>
      <c r="G639" t="str">
        <f>"1031812284"</f>
        <v>1031812284</v>
      </c>
      <c r="H639" t="str">
        <f t="shared" si="173"/>
        <v>2025-12-04</v>
      </c>
      <c r="I639" t="str">
        <f>"2512039246"</f>
        <v>2512039246</v>
      </c>
      <c r="J639" t="str">
        <f t="shared" si="172"/>
        <v>DELIVERED</v>
      </c>
    </row>
    <row r="640" spans="1:10" x14ac:dyDescent="0.25">
      <c r="A640" t="str">
        <f>"0000114248"</f>
        <v>0000114248</v>
      </c>
      <c r="B640" t="str">
        <f>"0001101510"</f>
        <v>0001101510</v>
      </c>
      <c r="C640" t="str">
        <f t="shared" si="178"/>
        <v xml:space="preserve">TR40/24 </v>
      </c>
      <c r="D640" t="str">
        <f>"14"</f>
        <v>14</v>
      </c>
      <c r="E640">
        <v>4.8899999999999997</v>
      </c>
      <c r="F640">
        <v>1590</v>
      </c>
      <c r="G640" t="str">
        <f>"1031812291"</f>
        <v>1031812291</v>
      </c>
      <c r="H640" t="str">
        <f t="shared" si="173"/>
        <v>2025-12-04</v>
      </c>
      <c r="I640" t="str">
        <f>"2512039246"</f>
        <v>2512039246</v>
      </c>
      <c r="J640" t="str">
        <f t="shared" si="172"/>
        <v>DELIVERED</v>
      </c>
    </row>
    <row r="641" spans="1:10" x14ac:dyDescent="0.25">
      <c r="A641" t="str">
        <f>"0000114248"</f>
        <v>0000114248</v>
      </c>
      <c r="B641" t="str">
        <f>"0001101510"</f>
        <v>0001101510</v>
      </c>
      <c r="C641" t="str">
        <f t="shared" si="178"/>
        <v xml:space="preserve">TR40/24 </v>
      </c>
      <c r="D641" t="str">
        <f>"14"</f>
        <v>14</v>
      </c>
      <c r="E641">
        <v>6.6989999999999998</v>
      </c>
      <c r="F641">
        <v>7970</v>
      </c>
      <c r="G641" t="str">
        <f>"1031815500"</f>
        <v>1031815500</v>
      </c>
      <c r="H641" t="str">
        <f t="shared" si="173"/>
        <v>2025-12-04</v>
      </c>
      <c r="I641" t="str">
        <f>"2512039246"</f>
        <v>2512039246</v>
      </c>
      <c r="J641" t="str">
        <f t="shared" si="172"/>
        <v>DELIVERED</v>
      </c>
    </row>
    <row r="642" spans="1:10" x14ac:dyDescent="0.25">
      <c r="A642" t="str">
        <f>"0000114298"</f>
        <v>0000114298</v>
      </c>
      <c r="B642" t="str">
        <f>"0001101477"</f>
        <v>0001101477</v>
      </c>
      <c r="C642" t="str">
        <f t="shared" si="178"/>
        <v xml:space="preserve">TR40/24 </v>
      </c>
      <c r="D642" t="str">
        <f>"39"</f>
        <v>39</v>
      </c>
      <c r="E642">
        <v>6.7789999999999999</v>
      </c>
      <c r="F642">
        <v>1183</v>
      </c>
      <c r="G642" t="str">
        <f>"1031808318"</f>
        <v>1031808318</v>
      </c>
      <c r="H642" t="str">
        <f t="shared" si="173"/>
        <v>2025-12-04</v>
      </c>
      <c r="I642" t="str">
        <f>"2512038809"</f>
        <v>2512038809</v>
      </c>
      <c r="J642" t="str">
        <f t="shared" si="172"/>
        <v>DELIVERED</v>
      </c>
    </row>
    <row r="643" spans="1:10" x14ac:dyDescent="0.25">
      <c r="A643" t="str">
        <f>"0000114298"</f>
        <v>0000114298</v>
      </c>
      <c r="B643" t="str">
        <f>"0001101477"</f>
        <v>0001101477</v>
      </c>
      <c r="C643" t="str">
        <f t="shared" si="178"/>
        <v xml:space="preserve">TR40/24 </v>
      </c>
      <c r="D643" t="str">
        <f>"39"</f>
        <v>39</v>
      </c>
      <c r="E643">
        <v>9.0760000000000005</v>
      </c>
      <c r="F643">
        <v>1274</v>
      </c>
      <c r="G643" t="str">
        <f>"1031808376"</f>
        <v>1031808376</v>
      </c>
      <c r="H643" t="str">
        <f t="shared" si="173"/>
        <v>2025-12-04</v>
      </c>
      <c r="I643" t="str">
        <f>"2512038809"</f>
        <v>2512038809</v>
      </c>
      <c r="J643" t="str">
        <f t="shared" si="172"/>
        <v>DELIVERED</v>
      </c>
    </row>
    <row r="644" spans="1:10" x14ac:dyDescent="0.25">
      <c r="A644" t="str">
        <f>"0000114298"</f>
        <v>0000114298</v>
      </c>
      <c r="B644" t="str">
        <f>"0001101477"</f>
        <v>0001101477</v>
      </c>
      <c r="C644" t="str">
        <f t="shared" si="178"/>
        <v xml:space="preserve">TR40/24 </v>
      </c>
      <c r="D644" t="str">
        <f>"39"</f>
        <v>39</v>
      </c>
      <c r="E644">
        <v>6.7789999999999999</v>
      </c>
      <c r="F644">
        <v>1183</v>
      </c>
      <c r="G644" t="str">
        <f>"1031811506"</f>
        <v>1031811506</v>
      </c>
      <c r="H644" t="str">
        <f t="shared" si="173"/>
        <v>2025-12-04</v>
      </c>
      <c r="I644" t="str">
        <f>"2512038809"</f>
        <v>2512038809</v>
      </c>
      <c r="J644" t="str">
        <f t="shared" si="172"/>
        <v>DELIVERED</v>
      </c>
    </row>
    <row r="645" spans="1:10" x14ac:dyDescent="0.25">
      <c r="A645" t="str">
        <f>"0000114298"</f>
        <v>0000114298</v>
      </c>
      <c r="B645" t="str">
        <f>"0001101477"</f>
        <v>0001101477</v>
      </c>
      <c r="C645" t="str">
        <f t="shared" si="178"/>
        <v xml:space="preserve">TR40/24 </v>
      </c>
      <c r="D645" t="str">
        <f>"39"</f>
        <v>39</v>
      </c>
      <c r="E645">
        <v>21.41</v>
      </c>
      <c r="F645">
        <v>10116</v>
      </c>
      <c r="G645" t="str">
        <f>"1031813590"</f>
        <v>1031813590</v>
      </c>
      <c r="H645" t="str">
        <f t="shared" ref="H645:H676" si="182">"2025-12-04"</f>
        <v>2025-12-04</v>
      </c>
      <c r="I645" t="str">
        <f>"2512038806"</f>
        <v>2512038806</v>
      </c>
      <c r="J645" t="str">
        <f t="shared" si="172"/>
        <v>DELIVERED</v>
      </c>
    </row>
    <row r="646" spans="1:10" x14ac:dyDescent="0.25">
      <c r="A646" t="str">
        <f>"0000114463"</f>
        <v>0000114463</v>
      </c>
      <c r="B646" t="str">
        <f>"0001101353"</f>
        <v>0001101353</v>
      </c>
      <c r="C646" t="str">
        <f t="shared" si="178"/>
        <v xml:space="preserve">TR40/24 </v>
      </c>
      <c r="D646" t="str">
        <f>"99"</f>
        <v>99</v>
      </c>
      <c r="E646">
        <v>0.10299999999999999</v>
      </c>
      <c r="F646">
        <v>10</v>
      </c>
      <c r="G646" t="str">
        <f>"1031814028"</f>
        <v>1031814028</v>
      </c>
      <c r="H646" t="str">
        <f t="shared" si="182"/>
        <v>2025-12-04</v>
      </c>
      <c r="I646" t="str">
        <f>""</f>
        <v/>
      </c>
      <c r="J646" t="str">
        <f>"NOT DELIVERED"</f>
        <v>NOT DELIVERED</v>
      </c>
    </row>
    <row r="647" spans="1:10" x14ac:dyDescent="0.25">
      <c r="A647" t="str">
        <f>"0000114468"</f>
        <v>0000114468</v>
      </c>
      <c r="B647" t="str">
        <f>"0001101253"</f>
        <v>0001101253</v>
      </c>
      <c r="C647" t="str">
        <f t="shared" si="178"/>
        <v xml:space="preserve">TR40/24 </v>
      </c>
      <c r="D647" t="str">
        <f>"68"</f>
        <v>68</v>
      </c>
      <c r="E647">
        <v>12.223000000000001</v>
      </c>
      <c r="F647">
        <v>2251</v>
      </c>
      <c r="G647" t="str">
        <f>"1031812784"</f>
        <v>1031812784</v>
      </c>
      <c r="H647" t="str">
        <f t="shared" si="182"/>
        <v>2025-12-04</v>
      </c>
      <c r="I647" t="str">
        <f>"2512049316"</f>
        <v>2512049316</v>
      </c>
      <c r="J647" t="str">
        <f t="shared" ref="J647:J662" si="183">"DELIVERED"</f>
        <v>DELIVERED</v>
      </c>
    </row>
    <row r="648" spans="1:10" x14ac:dyDescent="0.25">
      <c r="A648" t="str">
        <f>"0000114468"</f>
        <v>0000114468</v>
      </c>
      <c r="B648" t="str">
        <f>"0001101253"</f>
        <v>0001101253</v>
      </c>
      <c r="C648" t="str">
        <f t="shared" si="178"/>
        <v xml:space="preserve">TR40/24 </v>
      </c>
      <c r="D648" t="str">
        <f>"68"</f>
        <v>68</v>
      </c>
      <c r="E648">
        <v>3.2</v>
      </c>
      <c r="F648">
        <v>863</v>
      </c>
      <c r="G648" t="str">
        <f>"1031813224"</f>
        <v>1031813224</v>
      </c>
      <c r="H648" t="str">
        <f t="shared" si="182"/>
        <v>2025-12-04</v>
      </c>
      <c r="I648" t="str">
        <f>"2512049316"</f>
        <v>2512049316</v>
      </c>
      <c r="J648" t="str">
        <f t="shared" si="183"/>
        <v>DELIVERED</v>
      </c>
    </row>
    <row r="649" spans="1:10" x14ac:dyDescent="0.25">
      <c r="A649" t="str">
        <f>"0000114468"</f>
        <v>0000114468</v>
      </c>
      <c r="B649" t="str">
        <f>"0001101253"</f>
        <v>0001101253</v>
      </c>
      <c r="C649" t="str">
        <f t="shared" si="178"/>
        <v xml:space="preserve">TR40/24 </v>
      </c>
      <c r="D649" t="str">
        <f>"68"</f>
        <v>68</v>
      </c>
      <c r="E649">
        <v>22.707000000000001</v>
      </c>
      <c r="F649">
        <v>2622</v>
      </c>
      <c r="G649" t="str">
        <f>"1031813720"</f>
        <v>1031813720</v>
      </c>
      <c r="H649" t="str">
        <f t="shared" si="182"/>
        <v>2025-12-04</v>
      </c>
      <c r="I649" t="str">
        <f>"2512049299"</f>
        <v>2512049299</v>
      </c>
      <c r="J649" t="str">
        <f t="shared" si="183"/>
        <v>DELIVERED</v>
      </c>
    </row>
    <row r="650" spans="1:10" x14ac:dyDescent="0.25">
      <c r="A650" t="str">
        <f t="shared" ref="A650:A661" si="184">"0000114500"</f>
        <v>0000114500</v>
      </c>
      <c r="B650" t="str">
        <f t="shared" ref="B650:B662" si="185">"0001101203"</f>
        <v>0001101203</v>
      </c>
      <c r="C650" t="str">
        <f t="shared" si="178"/>
        <v xml:space="preserve">TR40/24 </v>
      </c>
      <c r="D650" t="str">
        <f t="shared" ref="D650:D661" si="186">"80"</f>
        <v>80</v>
      </c>
      <c r="E650">
        <v>4.5190000000000001</v>
      </c>
      <c r="F650">
        <v>1834</v>
      </c>
      <c r="G650" t="str">
        <f>"1031813395"</f>
        <v>1031813395</v>
      </c>
      <c r="H650" t="str">
        <f t="shared" si="182"/>
        <v>2025-12-04</v>
      </c>
      <c r="I650" t="str">
        <f>"2512049301"</f>
        <v>2512049301</v>
      </c>
      <c r="J650" t="str">
        <f t="shared" si="183"/>
        <v>DELIVERED</v>
      </c>
    </row>
    <row r="651" spans="1:10" x14ac:dyDescent="0.25">
      <c r="A651" t="str">
        <f t="shared" si="184"/>
        <v>0000114500</v>
      </c>
      <c r="B651" t="str">
        <f t="shared" si="185"/>
        <v>0001101203</v>
      </c>
      <c r="C651" t="str">
        <f t="shared" si="178"/>
        <v xml:space="preserve">TR40/24 </v>
      </c>
      <c r="D651" t="str">
        <f t="shared" si="186"/>
        <v>80</v>
      </c>
      <c r="E651">
        <v>3.556</v>
      </c>
      <c r="F651">
        <v>1416</v>
      </c>
      <c r="G651" t="str">
        <f>"1031813402"</f>
        <v>1031813402</v>
      </c>
      <c r="H651" t="str">
        <f t="shared" si="182"/>
        <v>2025-12-04</v>
      </c>
      <c r="I651" t="str">
        <f>"2512049301"</f>
        <v>2512049301</v>
      </c>
      <c r="J651" t="str">
        <f t="shared" si="183"/>
        <v>DELIVERED</v>
      </c>
    </row>
    <row r="652" spans="1:10" x14ac:dyDescent="0.25">
      <c r="A652" t="str">
        <f t="shared" si="184"/>
        <v>0000114500</v>
      </c>
      <c r="B652" t="str">
        <f t="shared" si="185"/>
        <v>0001101203</v>
      </c>
      <c r="C652" t="str">
        <f t="shared" si="178"/>
        <v xml:space="preserve">TR40/24 </v>
      </c>
      <c r="D652" t="str">
        <f t="shared" si="186"/>
        <v>80</v>
      </c>
      <c r="E652">
        <v>4.4020000000000001</v>
      </c>
      <c r="F652">
        <v>2950</v>
      </c>
      <c r="G652" t="str">
        <f>"1031813403"</f>
        <v>1031813403</v>
      </c>
      <c r="H652" t="str">
        <f t="shared" si="182"/>
        <v>2025-12-04</v>
      </c>
      <c r="I652" t="str">
        <f>"2512049301"</f>
        <v>2512049301</v>
      </c>
      <c r="J652" t="str">
        <f t="shared" si="183"/>
        <v>DELIVERED</v>
      </c>
    </row>
    <row r="653" spans="1:10" x14ac:dyDescent="0.25">
      <c r="A653" t="str">
        <f t="shared" si="184"/>
        <v>0000114500</v>
      </c>
      <c r="B653" t="str">
        <f t="shared" si="185"/>
        <v>0001101203</v>
      </c>
      <c r="C653" t="str">
        <f t="shared" si="178"/>
        <v xml:space="preserve">TR40/24 </v>
      </c>
      <c r="D653" t="str">
        <f t="shared" si="186"/>
        <v>80</v>
      </c>
      <c r="E653">
        <v>9.1669999999999998</v>
      </c>
      <c r="F653">
        <v>3853</v>
      </c>
      <c r="G653" t="str">
        <f>"1031813411"</f>
        <v>1031813411</v>
      </c>
      <c r="H653" t="str">
        <f t="shared" si="182"/>
        <v>2025-12-04</v>
      </c>
      <c r="I653" t="str">
        <f>"2512049590"</f>
        <v>2512049590</v>
      </c>
      <c r="J653" t="str">
        <f t="shared" si="183"/>
        <v>DELIVERED</v>
      </c>
    </row>
    <row r="654" spans="1:10" x14ac:dyDescent="0.25">
      <c r="A654" t="str">
        <f t="shared" si="184"/>
        <v>0000114500</v>
      </c>
      <c r="B654" t="str">
        <f t="shared" si="185"/>
        <v>0001101203</v>
      </c>
      <c r="C654" t="str">
        <f t="shared" si="178"/>
        <v xml:space="preserve">TR40/24 </v>
      </c>
      <c r="D654" t="str">
        <f t="shared" si="186"/>
        <v>80</v>
      </c>
      <c r="E654">
        <v>7.2910000000000004</v>
      </c>
      <c r="F654">
        <v>4054</v>
      </c>
      <c r="G654" t="str">
        <f>"1031813425"</f>
        <v>1031813425</v>
      </c>
      <c r="H654" t="str">
        <f t="shared" si="182"/>
        <v>2025-12-04</v>
      </c>
      <c r="I654" t="str">
        <f>"2512049590"</f>
        <v>2512049590</v>
      </c>
      <c r="J654" t="str">
        <f t="shared" si="183"/>
        <v>DELIVERED</v>
      </c>
    </row>
    <row r="655" spans="1:10" x14ac:dyDescent="0.25">
      <c r="A655" t="str">
        <f t="shared" si="184"/>
        <v>0000114500</v>
      </c>
      <c r="B655" t="str">
        <f t="shared" si="185"/>
        <v>0001101203</v>
      </c>
      <c r="C655" t="str">
        <f t="shared" si="178"/>
        <v xml:space="preserve">TR40/24 </v>
      </c>
      <c r="D655" t="str">
        <f t="shared" si="186"/>
        <v>80</v>
      </c>
      <c r="E655">
        <v>9.1669999999999998</v>
      </c>
      <c r="F655">
        <v>3853</v>
      </c>
      <c r="G655" t="str">
        <f>"1031813435"</f>
        <v>1031813435</v>
      </c>
      <c r="H655" t="str">
        <f t="shared" si="182"/>
        <v>2025-12-04</v>
      </c>
      <c r="I655" t="str">
        <f>"2512049301"</f>
        <v>2512049301</v>
      </c>
      <c r="J655" t="str">
        <f t="shared" si="183"/>
        <v>DELIVERED</v>
      </c>
    </row>
    <row r="656" spans="1:10" x14ac:dyDescent="0.25">
      <c r="A656" t="str">
        <f t="shared" si="184"/>
        <v>0000114500</v>
      </c>
      <c r="B656" t="str">
        <f t="shared" si="185"/>
        <v>0001101203</v>
      </c>
      <c r="C656" t="str">
        <f t="shared" si="178"/>
        <v xml:space="preserve">TR40/24 </v>
      </c>
      <c r="D656" t="str">
        <f t="shared" si="186"/>
        <v>80</v>
      </c>
      <c r="E656">
        <v>9.7140000000000004</v>
      </c>
      <c r="F656">
        <v>2992</v>
      </c>
      <c r="G656" t="str">
        <f>"1031815654"</f>
        <v>1031815654</v>
      </c>
      <c r="H656" t="str">
        <f t="shared" si="182"/>
        <v>2025-12-04</v>
      </c>
      <c r="I656" t="str">
        <f>"2512038901"</f>
        <v>2512038901</v>
      </c>
      <c r="J656" t="str">
        <f t="shared" si="183"/>
        <v>DELIVERED</v>
      </c>
    </row>
    <row r="657" spans="1:10" x14ac:dyDescent="0.25">
      <c r="A657" t="str">
        <f t="shared" si="184"/>
        <v>0000114500</v>
      </c>
      <c r="B657" t="str">
        <f t="shared" si="185"/>
        <v>0001101203</v>
      </c>
      <c r="C657" t="str">
        <f t="shared" si="178"/>
        <v xml:space="preserve">TR40/24 </v>
      </c>
      <c r="D657" t="str">
        <f t="shared" si="186"/>
        <v>80</v>
      </c>
      <c r="E657">
        <v>1.5660000000000001</v>
      </c>
      <c r="F657">
        <v>650</v>
      </c>
      <c r="G657" t="str">
        <f>"1031815656"</f>
        <v>1031815656</v>
      </c>
      <c r="H657" t="str">
        <f t="shared" si="182"/>
        <v>2025-12-04</v>
      </c>
      <c r="I657" t="str">
        <f>"2512049296"</f>
        <v>2512049296</v>
      </c>
      <c r="J657" t="str">
        <f t="shared" si="183"/>
        <v>DELIVERED</v>
      </c>
    </row>
    <row r="658" spans="1:10" x14ac:dyDescent="0.25">
      <c r="A658" t="str">
        <f t="shared" si="184"/>
        <v>0000114500</v>
      </c>
      <c r="B658" t="str">
        <f t="shared" si="185"/>
        <v>0001101203</v>
      </c>
      <c r="C658" t="str">
        <f t="shared" si="178"/>
        <v xml:space="preserve">TR40/24 </v>
      </c>
      <c r="D658" t="str">
        <f t="shared" si="186"/>
        <v>80</v>
      </c>
      <c r="E658">
        <v>4.6580000000000004</v>
      </c>
      <c r="F658">
        <v>2692</v>
      </c>
      <c r="G658" t="str">
        <f>"1031815659"</f>
        <v>1031815659</v>
      </c>
      <c r="H658" t="str">
        <f t="shared" si="182"/>
        <v>2025-12-04</v>
      </c>
      <c r="I658" t="str">
        <f>"2512049296"</f>
        <v>2512049296</v>
      </c>
      <c r="J658" t="str">
        <f t="shared" si="183"/>
        <v>DELIVERED</v>
      </c>
    </row>
    <row r="659" spans="1:10" x14ac:dyDescent="0.25">
      <c r="A659" t="str">
        <f t="shared" si="184"/>
        <v>0000114500</v>
      </c>
      <c r="B659" t="str">
        <f t="shared" si="185"/>
        <v>0001101203</v>
      </c>
      <c r="C659" t="str">
        <f t="shared" ref="C659:C676" si="187">"TR40/24 "</f>
        <v xml:space="preserve">TR40/24 </v>
      </c>
      <c r="D659" t="str">
        <f t="shared" si="186"/>
        <v>80</v>
      </c>
      <c r="E659">
        <v>5.2789999999999999</v>
      </c>
      <c r="F659">
        <v>2211</v>
      </c>
      <c r="G659" t="str">
        <f>"1031815667"</f>
        <v>1031815667</v>
      </c>
      <c r="H659" t="str">
        <f t="shared" si="182"/>
        <v>2025-12-04</v>
      </c>
      <c r="I659" t="str">
        <f>"2512049296"</f>
        <v>2512049296</v>
      </c>
      <c r="J659" t="str">
        <f t="shared" si="183"/>
        <v>DELIVERED</v>
      </c>
    </row>
    <row r="660" spans="1:10" x14ac:dyDescent="0.25">
      <c r="A660" t="str">
        <f t="shared" si="184"/>
        <v>0000114500</v>
      </c>
      <c r="B660" t="str">
        <f t="shared" si="185"/>
        <v>0001101203</v>
      </c>
      <c r="C660" t="str">
        <f t="shared" si="187"/>
        <v xml:space="preserve">TR40/24 </v>
      </c>
      <c r="D660" t="str">
        <f t="shared" si="186"/>
        <v>80</v>
      </c>
      <c r="E660">
        <v>3.6269999999999998</v>
      </c>
      <c r="F660">
        <v>784</v>
      </c>
      <c r="G660" t="str">
        <f>"1031815682"</f>
        <v>1031815682</v>
      </c>
      <c r="H660" t="str">
        <f t="shared" si="182"/>
        <v>2025-12-04</v>
      </c>
      <c r="I660" t="str">
        <f>"2512049296"</f>
        <v>2512049296</v>
      </c>
      <c r="J660" t="str">
        <f t="shared" si="183"/>
        <v>DELIVERED</v>
      </c>
    </row>
    <row r="661" spans="1:10" x14ac:dyDescent="0.25">
      <c r="A661" t="str">
        <f t="shared" si="184"/>
        <v>0000114500</v>
      </c>
      <c r="B661" t="str">
        <f t="shared" si="185"/>
        <v>0001101203</v>
      </c>
      <c r="C661" t="str">
        <f t="shared" si="187"/>
        <v xml:space="preserve">TR40/24 </v>
      </c>
      <c r="D661" t="str">
        <f t="shared" si="186"/>
        <v>80</v>
      </c>
      <c r="E661">
        <v>2.3650000000000002</v>
      </c>
      <c r="F661">
        <v>752</v>
      </c>
      <c r="G661" t="str">
        <f>"1031816595"</f>
        <v>1031816595</v>
      </c>
      <c r="H661" t="str">
        <f t="shared" si="182"/>
        <v>2025-12-04</v>
      </c>
      <c r="I661" t="str">
        <f>"2512038901"</f>
        <v>2512038901</v>
      </c>
      <c r="J661" t="str">
        <f t="shared" si="183"/>
        <v>DELIVERED</v>
      </c>
    </row>
    <row r="662" spans="1:10" x14ac:dyDescent="0.25">
      <c r="A662" t="str">
        <f>"0000114501"</f>
        <v>0000114501</v>
      </c>
      <c r="B662" t="str">
        <f t="shared" si="185"/>
        <v>0001101203</v>
      </c>
      <c r="C662" t="str">
        <f t="shared" si="187"/>
        <v xml:space="preserve">TR40/24 </v>
      </c>
      <c r="D662" t="str">
        <f>"58"</f>
        <v>58</v>
      </c>
      <c r="E662">
        <v>22.63</v>
      </c>
      <c r="F662">
        <v>546</v>
      </c>
      <c r="G662" t="str">
        <f>"1031815030"</f>
        <v>1031815030</v>
      </c>
      <c r="H662" t="str">
        <f t="shared" si="182"/>
        <v>2025-12-04</v>
      </c>
      <c r="I662" t="str">
        <f>"2512038900"</f>
        <v>2512038900</v>
      </c>
      <c r="J662" t="str">
        <f t="shared" si="183"/>
        <v>DELIVERED</v>
      </c>
    </row>
    <row r="663" spans="1:10" x14ac:dyDescent="0.25">
      <c r="A663" t="str">
        <f>"0000114512"</f>
        <v>0000114512</v>
      </c>
      <c r="B663" t="str">
        <f>"0001102757"</f>
        <v>0001102757</v>
      </c>
      <c r="C663" t="str">
        <f t="shared" si="187"/>
        <v xml:space="preserve">TR40/24 </v>
      </c>
      <c r="D663" t="str">
        <f>"12"</f>
        <v>12</v>
      </c>
      <c r="E663">
        <v>15.766999999999999</v>
      </c>
      <c r="F663">
        <v>3671</v>
      </c>
      <c r="G663" t="str">
        <f>"1031813401"</f>
        <v>1031813401</v>
      </c>
      <c r="H663" t="str">
        <f t="shared" si="182"/>
        <v>2025-12-04</v>
      </c>
      <c r="I663" t="str">
        <f>"2512048756"</f>
        <v>2512048756</v>
      </c>
      <c r="J663" t="str">
        <f>"NOT DELIVERED"</f>
        <v>NOT DELIVERED</v>
      </c>
    </row>
    <row r="664" spans="1:10" x14ac:dyDescent="0.25">
      <c r="A664" t="str">
        <f>"0000114512"</f>
        <v>0000114512</v>
      </c>
      <c r="B664" t="str">
        <f>"0001102757"</f>
        <v>0001102757</v>
      </c>
      <c r="C664" t="str">
        <f t="shared" si="187"/>
        <v xml:space="preserve">TR40/24 </v>
      </c>
      <c r="D664" t="str">
        <f>"12"</f>
        <v>12</v>
      </c>
      <c r="E664">
        <v>1.5620000000000001</v>
      </c>
      <c r="F664">
        <v>1200</v>
      </c>
      <c r="G664" t="str">
        <f>"1031815067"</f>
        <v>1031815067</v>
      </c>
      <c r="H664" t="str">
        <f t="shared" si="182"/>
        <v>2025-12-04</v>
      </c>
      <c r="I664" t="str">
        <f>"2512048756"</f>
        <v>2512048756</v>
      </c>
      <c r="J664" t="str">
        <f>"NOT DELIVERED"</f>
        <v>NOT DELIVERED</v>
      </c>
    </row>
    <row r="665" spans="1:10" x14ac:dyDescent="0.25">
      <c r="A665" t="str">
        <f>"0000114512"</f>
        <v>0000114512</v>
      </c>
      <c r="B665" t="str">
        <f>"0001102757"</f>
        <v>0001102757</v>
      </c>
      <c r="C665" t="str">
        <f t="shared" si="187"/>
        <v xml:space="preserve">TR40/24 </v>
      </c>
      <c r="D665" t="str">
        <f>"12"</f>
        <v>12</v>
      </c>
      <c r="E665">
        <v>105.437</v>
      </c>
      <c r="F665">
        <v>175</v>
      </c>
      <c r="G665" t="str">
        <f>"1031815708"</f>
        <v>1031815708</v>
      </c>
      <c r="H665" t="str">
        <f t="shared" si="182"/>
        <v>2025-12-04</v>
      </c>
      <c r="I665" t="str">
        <f>"2512049180"</f>
        <v>2512049180</v>
      </c>
      <c r="J665" t="str">
        <f>"NOT DELIVERED"</f>
        <v>NOT DELIVERED</v>
      </c>
    </row>
    <row r="666" spans="1:10" x14ac:dyDescent="0.25">
      <c r="A666" t="str">
        <f>"0000114524"</f>
        <v>0000114524</v>
      </c>
      <c r="B666" t="str">
        <f>"0001104832"</f>
        <v>0001104832</v>
      </c>
      <c r="C666" t="str">
        <f t="shared" si="187"/>
        <v xml:space="preserve">TR40/24 </v>
      </c>
      <c r="D666" t="str">
        <f>"63"</f>
        <v>63</v>
      </c>
      <c r="E666">
        <v>1.5920000000000001</v>
      </c>
      <c r="F666">
        <v>662</v>
      </c>
      <c r="G666" t="str">
        <f>"1031804262"</f>
        <v>1031804262</v>
      </c>
      <c r="H666" t="str">
        <f t="shared" si="182"/>
        <v>2025-12-04</v>
      </c>
      <c r="I666" t="str">
        <f>"2512049315"</f>
        <v>2512049315</v>
      </c>
      <c r="J666" t="str">
        <f t="shared" ref="J666:J697" si="188">"DELIVERED"</f>
        <v>DELIVERED</v>
      </c>
    </row>
    <row r="667" spans="1:10" x14ac:dyDescent="0.25">
      <c r="A667" t="str">
        <f>"0000114524"</f>
        <v>0000114524</v>
      </c>
      <c r="B667" t="str">
        <f>"0001104832"</f>
        <v>0001104832</v>
      </c>
      <c r="C667" t="str">
        <f t="shared" si="187"/>
        <v xml:space="preserve">TR40/24 </v>
      </c>
      <c r="D667" t="str">
        <f>"63"</f>
        <v>63</v>
      </c>
      <c r="E667">
        <v>1.151</v>
      </c>
      <c r="F667">
        <v>541</v>
      </c>
      <c r="G667" t="str">
        <f>"1031804263"</f>
        <v>1031804263</v>
      </c>
      <c r="H667" t="str">
        <f t="shared" si="182"/>
        <v>2025-12-04</v>
      </c>
      <c r="I667" t="str">
        <f>"2512049315"</f>
        <v>2512049315</v>
      </c>
      <c r="J667" t="str">
        <f t="shared" si="188"/>
        <v>DELIVERED</v>
      </c>
    </row>
    <row r="668" spans="1:10" x14ac:dyDescent="0.25">
      <c r="A668" t="str">
        <f>"0000114524"</f>
        <v>0000114524</v>
      </c>
      <c r="B668" t="str">
        <f>"0001104832"</f>
        <v>0001104832</v>
      </c>
      <c r="C668" t="str">
        <f t="shared" si="187"/>
        <v xml:space="preserve">TR40/24 </v>
      </c>
      <c r="D668" t="str">
        <f>"63"</f>
        <v>63</v>
      </c>
      <c r="E668">
        <v>3.0270000000000001</v>
      </c>
      <c r="F668">
        <v>1384</v>
      </c>
      <c r="G668" t="str">
        <f>"1031804275"</f>
        <v>1031804275</v>
      </c>
      <c r="H668" t="str">
        <f t="shared" si="182"/>
        <v>2025-12-04</v>
      </c>
      <c r="I668" t="str">
        <f>"2512049315"</f>
        <v>2512049315</v>
      </c>
      <c r="J668" t="str">
        <f t="shared" si="188"/>
        <v>DELIVERED</v>
      </c>
    </row>
    <row r="669" spans="1:10" x14ac:dyDescent="0.25">
      <c r="A669" t="str">
        <f>"0000114524"</f>
        <v>0000114524</v>
      </c>
      <c r="B669" t="str">
        <f>"0001104832"</f>
        <v>0001104832</v>
      </c>
      <c r="C669" t="str">
        <f t="shared" si="187"/>
        <v xml:space="preserve">TR40/24 </v>
      </c>
      <c r="D669" t="str">
        <f>"63"</f>
        <v>63</v>
      </c>
      <c r="E669">
        <v>1.4319999999999999</v>
      </c>
      <c r="F669">
        <v>443</v>
      </c>
      <c r="G669" t="str">
        <f>"1031815423"</f>
        <v>1031815423</v>
      </c>
      <c r="H669" t="str">
        <f t="shared" si="182"/>
        <v>2025-12-04</v>
      </c>
      <c r="I669" t="str">
        <f>"2512049315"</f>
        <v>2512049315</v>
      </c>
      <c r="J669" t="str">
        <f t="shared" si="188"/>
        <v>DELIVERED</v>
      </c>
    </row>
    <row r="670" spans="1:10" x14ac:dyDescent="0.25">
      <c r="A670" t="str">
        <f>"0000114538"</f>
        <v>0000114538</v>
      </c>
      <c r="B670" t="str">
        <f>"0001104850"</f>
        <v>0001104850</v>
      </c>
      <c r="C670" t="str">
        <f t="shared" si="187"/>
        <v xml:space="preserve">TR40/24 </v>
      </c>
      <c r="D670" t="str">
        <f>"13"</f>
        <v>13</v>
      </c>
      <c r="E670">
        <v>1.669</v>
      </c>
      <c r="F670">
        <v>450</v>
      </c>
      <c r="G670" t="str">
        <f>"1031814832"</f>
        <v>1031814832</v>
      </c>
      <c r="H670" t="str">
        <f t="shared" si="182"/>
        <v>2025-12-04</v>
      </c>
      <c r="I670" t="str">
        <f>"2512038816"</f>
        <v>2512038816</v>
      </c>
      <c r="J670" t="str">
        <f t="shared" si="188"/>
        <v>DELIVERED</v>
      </c>
    </row>
    <row r="671" spans="1:10" x14ac:dyDescent="0.25">
      <c r="A671" t="str">
        <f>"0000114538"</f>
        <v>0000114538</v>
      </c>
      <c r="B671" t="str">
        <f>"0001104850"</f>
        <v>0001104850</v>
      </c>
      <c r="C671" t="str">
        <f t="shared" si="187"/>
        <v xml:space="preserve">TR40/24 </v>
      </c>
      <c r="D671" t="str">
        <f>"13"</f>
        <v>13</v>
      </c>
      <c r="E671">
        <v>12.512</v>
      </c>
      <c r="F671">
        <v>423</v>
      </c>
      <c r="G671" t="str">
        <f>"1031814835"</f>
        <v>1031814835</v>
      </c>
      <c r="H671" t="str">
        <f t="shared" si="182"/>
        <v>2025-12-04</v>
      </c>
      <c r="I671" t="str">
        <f>"2512038816"</f>
        <v>2512038816</v>
      </c>
      <c r="J671" t="str">
        <f t="shared" si="188"/>
        <v>DELIVERED</v>
      </c>
    </row>
    <row r="672" spans="1:10" x14ac:dyDescent="0.25">
      <c r="A672" t="str">
        <f>"0000114538"</f>
        <v>0000114538</v>
      </c>
      <c r="B672" t="str">
        <f>"0001104850"</f>
        <v>0001104850</v>
      </c>
      <c r="C672" t="str">
        <f t="shared" si="187"/>
        <v xml:space="preserve">TR40/24 </v>
      </c>
      <c r="D672" t="str">
        <f>"13"</f>
        <v>13</v>
      </c>
      <c r="E672">
        <v>0.44700000000000001</v>
      </c>
      <c r="F672">
        <v>42</v>
      </c>
      <c r="G672" t="str">
        <f>"1031815883"</f>
        <v>1031815883</v>
      </c>
      <c r="H672" t="str">
        <f t="shared" si="182"/>
        <v>2025-12-04</v>
      </c>
      <c r="I672" t="str">
        <f>"2512038816"</f>
        <v>2512038816</v>
      </c>
      <c r="J672" t="str">
        <f t="shared" si="188"/>
        <v>DELIVERED</v>
      </c>
    </row>
    <row r="673" spans="1:10" x14ac:dyDescent="0.25">
      <c r="A673" t="str">
        <f>"0000114552"</f>
        <v>0000114552</v>
      </c>
      <c r="B673" t="str">
        <f>"0001102671"</f>
        <v>0001102671</v>
      </c>
      <c r="C673" t="str">
        <f t="shared" si="187"/>
        <v xml:space="preserve">TR40/24 </v>
      </c>
      <c r="D673" t="str">
        <f>"56"</f>
        <v>56</v>
      </c>
      <c r="E673">
        <v>25.977</v>
      </c>
      <c r="F673">
        <v>1188</v>
      </c>
      <c r="G673" t="str">
        <f>"1031813331"</f>
        <v>1031813331</v>
      </c>
      <c r="H673" t="str">
        <f t="shared" si="182"/>
        <v>2025-12-04</v>
      </c>
      <c r="I673" t="str">
        <f>"2512049327"</f>
        <v>2512049327</v>
      </c>
      <c r="J673" t="str">
        <f t="shared" si="188"/>
        <v>DELIVERED</v>
      </c>
    </row>
    <row r="674" spans="1:10" x14ac:dyDescent="0.25">
      <c r="A674" t="str">
        <f>"0000114559"</f>
        <v>0000114559</v>
      </c>
      <c r="B674" t="str">
        <f>"0001101672"</f>
        <v>0001101672</v>
      </c>
      <c r="C674" t="str">
        <f t="shared" si="187"/>
        <v xml:space="preserve">TR40/24 </v>
      </c>
      <c r="D674" t="str">
        <f>"64"</f>
        <v>64</v>
      </c>
      <c r="E674">
        <v>2.9660000000000002</v>
      </c>
      <c r="F674">
        <v>787</v>
      </c>
      <c r="G674" t="str">
        <f>"1031816868"</f>
        <v>1031816868</v>
      </c>
      <c r="H674" t="str">
        <f t="shared" si="182"/>
        <v>2025-12-04</v>
      </c>
      <c r="I674" t="str">
        <f>"2512049225"</f>
        <v>2512049225</v>
      </c>
      <c r="J674" t="str">
        <f t="shared" si="188"/>
        <v>DELIVERED</v>
      </c>
    </row>
    <row r="675" spans="1:10" x14ac:dyDescent="0.25">
      <c r="A675" t="str">
        <f>"0000114559"</f>
        <v>0000114559</v>
      </c>
      <c r="B675" t="str">
        <f>"0001101672"</f>
        <v>0001101672</v>
      </c>
      <c r="C675" t="str">
        <f t="shared" si="187"/>
        <v xml:space="preserve">TR40/24 </v>
      </c>
      <c r="D675" t="str">
        <f>"64"</f>
        <v>64</v>
      </c>
      <c r="E675">
        <v>7.0469999999999997</v>
      </c>
      <c r="F675">
        <v>955</v>
      </c>
      <c r="G675" t="str">
        <f>"1031816992"</f>
        <v>1031816992</v>
      </c>
      <c r="H675" t="str">
        <f t="shared" si="182"/>
        <v>2025-12-04</v>
      </c>
      <c r="I675" t="str">
        <f>"2512049225"</f>
        <v>2512049225</v>
      </c>
      <c r="J675" t="str">
        <f t="shared" si="188"/>
        <v>DELIVERED</v>
      </c>
    </row>
    <row r="676" spans="1:10" x14ac:dyDescent="0.25">
      <c r="A676" t="str">
        <f>"0000114559"</f>
        <v>0000114559</v>
      </c>
      <c r="B676" t="str">
        <f>"0001101672"</f>
        <v>0001101672</v>
      </c>
      <c r="C676" t="str">
        <f t="shared" si="187"/>
        <v xml:space="preserve">TR40/24 </v>
      </c>
      <c r="D676" t="str">
        <f>"64"</f>
        <v>64</v>
      </c>
      <c r="E676">
        <v>8.0340000000000007</v>
      </c>
      <c r="F676">
        <v>1255</v>
      </c>
      <c r="G676" t="str">
        <f>"1031816993"</f>
        <v>1031816993</v>
      </c>
      <c r="H676" t="str">
        <f t="shared" si="182"/>
        <v>2025-12-04</v>
      </c>
      <c r="I676" t="str">
        <f>"2512049225"</f>
        <v>2512049225</v>
      </c>
      <c r="J676" t="str">
        <f t="shared" si="188"/>
        <v>DELIVERED</v>
      </c>
    </row>
    <row r="677" spans="1:10" x14ac:dyDescent="0.25">
      <c r="A677" t="str">
        <f>"0000114641"</f>
        <v>0000114641</v>
      </c>
      <c r="B677" t="str">
        <f>"0001101339"</f>
        <v>0001101339</v>
      </c>
      <c r="C677" t="str">
        <f>"LB30    "</f>
        <v xml:space="preserve">LB30    </v>
      </c>
      <c r="D677" t="str">
        <f>"57"</f>
        <v>57</v>
      </c>
      <c r="E677">
        <v>0.67600000000000005</v>
      </c>
      <c r="F677">
        <v>12</v>
      </c>
      <c r="G677" t="str">
        <f>"1031814188"</f>
        <v>1031814188</v>
      </c>
      <c r="H677" t="str">
        <f t="shared" ref="H677:H708" si="189">"2025-12-04"</f>
        <v>2025-12-04</v>
      </c>
      <c r="I677" t="str">
        <f>"2512049484"</f>
        <v>2512049484</v>
      </c>
      <c r="J677" t="str">
        <f t="shared" si="188"/>
        <v>DELIVERED</v>
      </c>
    </row>
    <row r="678" spans="1:10" x14ac:dyDescent="0.25">
      <c r="A678" t="str">
        <f>"0000114641"</f>
        <v>0000114641</v>
      </c>
      <c r="B678" t="str">
        <f>"0001101339"</f>
        <v>0001101339</v>
      </c>
      <c r="C678" t="str">
        <f>"LB30    "</f>
        <v xml:space="preserve">LB30    </v>
      </c>
      <c r="D678" t="str">
        <f>"57"</f>
        <v>57</v>
      </c>
      <c r="E678">
        <v>14.805</v>
      </c>
      <c r="F678">
        <v>1634</v>
      </c>
      <c r="G678" t="str">
        <f>"1031814197"</f>
        <v>1031814197</v>
      </c>
      <c r="H678" t="str">
        <f t="shared" si="189"/>
        <v>2025-12-04</v>
      </c>
      <c r="I678" t="str">
        <f>"2512049484"</f>
        <v>2512049484</v>
      </c>
      <c r="J678" t="str">
        <f t="shared" si="188"/>
        <v>DELIVERED</v>
      </c>
    </row>
    <row r="679" spans="1:10" x14ac:dyDescent="0.25">
      <c r="A679" t="str">
        <f>"0000114641"</f>
        <v>0000114641</v>
      </c>
      <c r="B679" t="str">
        <f>"0001101339"</f>
        <v>0001101339</v>
      </c>
      <c r="C679" t="str">
        <f>"LB30    "</f>
        <v xml:space="preserve">LB30    </v>
      </c>
      <c r="D679" t="str">
        <f>"57"</f>
        <v>57</v>
      </c>
      <c r="E679">
        <v>0.67600000000000005</v>
      </c>
      <c r="F679">
        <v>12</v>
      </c>
      <c r="G679" t="str">
        <f>"1031814227"</f>
        <v>1031814227</v>
      </c>
      <c r="H679" t="str">
        <f t="shared" si="189"/>
        <v>2025-12-04</v>
      </c>
      <c r="I679" t="str">
        <f>"2512049484"</f>
        <v>2512049484</v>
      </c>
      <c r="J679" t="str">
        <f t="shared" si="188"/>
        <v>DELIVERED</v>
      </c>
    </row>
    <row r="680" spans="1:10" x14ac:dyDescent="0.25">
      <c r="A680" t="str">
        <f>"0000114641"</f>
        <v>0000114641</v>
      </c>
      <c r="B680" t="str">
        <f>"0001101339"</f>
        <v>0001101339</v>
      </c>
      <c r="C680" t="str">
        <f>"LB30    "</f>
        <v xml:space="preserve">LB30    </v>
      </c>
      <c r="D680" t="str">
        <f>"57"</f>
        <v>57</v>
      </c>
      <c r="E680">
        <v>1.069</v>
      </c>
      <c r="F680">
        <v>12</v>
      </c>
      <c r="G680" t="str">
        <f>"1031814228"</f>
        <v>1031814228</v>
      </c>
      <c r="H680" t="str">
        <f t="shared" si="189"/>
        <v>2025-12-04</v>
      </c>
      <c r="I680" t="str">
        <f>"2512049484"</f>
        <v>2512049484</v>
      </c>
      <c r="J680" t="str">
        <f t="shared" si="188"/>
        <v>DELIVERED</v>
      </c>
    </row>
    <row r="681" spans="1:10" x14ac:dyDescent="0.25">
      <c r="A681" t="str">
        <f>"0000114641"</f>
        <v>0000114641</v>
      </c>
      <c r="B681" t="str">
        <f>"0001101339"</f>
        <v>0001101339</v>
      </c>
      <c r="C681" t="str">
        <f>"LB30    "</f>
        <v xml:space="preserve">LB30    </v>
      </c>
      <c r="D681" t="str">
        <f>"57"</f>
        <v>57</v>
      </c>
      <c r="E681">
        <v>1.069</v>
      </c>
      <c r="F681">
        <v>12</v>
      </c>
      <c r="G681" t="str">
        <f>"1031814229"</f>
        <v>1031814229</v>
      </c>
      <c r="H681" t="str">
        <f t="shared" si="189"/>
        <v>2025-12-04</v>
      </c>
      <c r="I681" t="str">
        <f>"2512049484"</f>
        <v>2512049484</v>
      </c>
      <c r="J681" t="str">
        <f t="shared" si="188"/>
        <v>DELIVERED</v>
      </c>
    </row>
    <row r="682" spans="1:10" x14ac:dyDescent="0.25">
      <c r="A682" t="str">
        <f>"0000114644"</f>
        <v>0000114644</v>
      </c>
      <c r="B682" t="str">
        <f>"0001101266"</f>
        <v>0001101266</v>
      </c>
      <c r="C682" t="str">
        <f t="shared" ref="C682:C715" si="190">"TR40/24 "</f>
        <v xml:space="preserve">TR40/24 </v>
      </c>
      <c r="D682" t="str">
        <f>"46"</f>
        <v>46</v>
      </c>
      <c r="E682">
        <v>8.5630000000000006</v>
      </c>
      <c r="F682">
        <v>1306</v>
      </c>
      <c r="G682" t="str">
        <f>"1031815532"</f>
        <v>1031815532</v>
      </c>
      <c r="H682" t="str">
        <f t="shared" si="189"/>
        <v>2025-12-04</v>
      </c>
      <c r="I682" t="str">
        <f>"2512049819"</f>
        <v>2512049819</v>
      </c>
      <c r="J682" t="str">
        <f t="shared" si="188"/>
        <v>DELIVERED</v>
      </c>
    </row>
    <row r="683" spans="1:10" x14ac:dyDescent="0.25">
      <c r="A683" t="str">
        <f>"0000114681"</f>
        <v>0000114681</v>
      </c>
      <c r="B683" t="str">
        <f>"0001104832"</f>
        <v>0001104832</v>
      </c>
      <c r="C683" t="str">
        <f t="shared" si="190"/>
        <v xml:space="preserve">TR40/24 </v>
      </c>
      <c r="D683" t="str">
        <f>"50"</f>
        <v>50</v>
      </c>
      <c r="E683">
        <v>3.0449999999999999</v>
      </c>
      <c r="F683">
        <v>715</v>
      </c>
      <c r="G683" t="str">
        <f>"1031815157"</f>
        <v>1031815157</v>
      </c>
      <c r="H683" t="str">
        <f t="shared" si="189"/>
        <v>2025-12-04</v>
      </c>
      <c r="I683" t="str">
        <f>"2512049320"</f>
        <v>2512049320</v>
      </c>
      <c r="J683" t="str">
        <f t="shared" si="188"/>
        <v>DELIVERED</v>
      </c>
    </row>
    <row r="684" spans="1:10" x14ac:dyDescent="0.25">
      <c r="A684" t="str">
        <f>"0000114681"</f>
        <v>0000114681</v>
      </c>
      <c r="B684" t="str">
        <f>"0001104832"</f>
        <v>0001104832</v>
      </c>
      <c r="C684" t="str">
        <f t="shared" si="190"/>
        <v xml:space="preserve">TR40/24 </v>
      </c>
      <c r="D684" t="str">
        <f>"50"</f>
        <v>50</v>
      </c>
      <c r="E684">
        <v>1.17</v>
      </c>
      <c r="F684">
        <v>603</v>
      </c>
      <c r="G684" t="str">
        <f>"1031815158"</f>
        <v>1031815158</v>
      </c>
      <c r="H684" t="str">
        <f t="shared" si="189"/>
        <v>2025-12-04</v>
      </c>
      <c r="I684" t="str">
        <f>"2512049320"</f>
        <v>2512049320</v>
      </c>
      <c r="J684" t="str">
        <f t="shared" si="188"/>
        <v>DELIVERED</v>
      </c>
    </row>
    <row r="685" spans="1:10" x14ac:dyDescent="0.25">
      <c r="A685" t="str">
        <f>"0000114681"</f>
        <v>0000114681</v>
      </c>
      <c r="B685" t="str">
        <f>"0001104832"</f>
        <v>0001104832</v>
      </c>
      <c r="C685" t="str">
        <f t="shared" si="190"/>
        <v xml:space="preserve">TR40/24 </v>
      </c>
      <c r="D685" t="str">
        <f>"50"</f>
        <v>50</v>
      </c>
      <c r="E685">
        <v>1.02</v>
      </c>
      <c r="F685">
        <v>472</v>
      </c>
      <c r="G685" t="str">
        <f>"1031815159"</f>
        <v>1031815159</v>
      </c>
      <c r="H685" t="str">
        <f t="shared" si="189"/>
        <v>2025-12-04</v>
      </c>
      <c r="I685" t="str">
        <f>"2512049320"</f>
        <v>2512049320</v>
      </c>
      <c r="J685" t="str">
        <f t="shared" si="188"/>
        <v>DELIVERED</v>
      </c>
    </row>
    <row r="686" spans="1:10" x14ac:dyDescent="0.25">
      <c r="A686" t="str">
        <f>"0000114681"</f>
        <v>0000114681</v>
      </c>
      <c r="B686" t="str">
        <f>"0001104832"</f>
        <v>0001104832</v>
      </c>
      <c r="C686" t="str">
        <f t="shared" si="190"/>
        <v xml:space="preserve">TR40/24 </v>
      </c>
      <c r="D686" t="str">
        <f>"50"</f>
        <v>50</v>
      </c>
      <c r="E686">
        <v>0.84499999999999997</v>
      </c>
      <c r="F686">
        <v>482</v>
      </c>
      <c r="G686" t="str">
        <f>"1031815162"</f>
        <v>1031815162</v>
      </c>
      <c r="H686" t="str">
        <f t="shared" si="189"/>
        <v>2025-12-04</v>
      </c>
      <c r="I686" t="str">
        <f>"2512049320"</f>
        <v>2512049320</v>
      </c>
      <c r="J686" t="str">
        <f t="shared" si="188"/>
        <v>DELIVERED</v>
      </c>
    </row>
    <row r="687" spans="1:10" x14ac:dyDescent="0.25">
      <c r="A687" t="str">
        <f>"0000114681"</f>
        <v>0000114681</v>
      </c>
      <c r="B687" t="str">
        <f>"0001104832"</f>
        <v>0001104832</v>
      </c>
      <c r="C687" t="str">
        <f t="shared" si="190"/>
        <v xml:space="preserve">TR40/24 </v>
      </c>
      <c r="D687" t="str">
        <f>"50"</f>
        <v>50</v>
      </c>
      <c r="E687">
        <v>3.3969999999999998</v>
      </c>
      <c r="F687">
        <v>776</v>
      </c>
      <c r="G687" t="str">
        <f>"1031815166"</f>
        <v>1031815166</v>
      </c>
      <c r="H687" t="str">
        <f t="shared" si="189"/>
        <v>2025-12-04</v>
      </c>
      <c r="I687" t="str">
        <f>"2512049320"</f>
        <v>2512049320</v>
      </c>
      <c r="J687" t="str">
        <f t="shared" si="188"/>
        <v>DELIVERED</v>
      </c>
    </row>
    <row r="688" spans="1:10" x14ac:dyDescent="0.25">
      <c r="A688" t="str">
        <f>"0000114711"</f>
        <v>0000114711</v>
      </c>
      <c r="B688" t="str">
        <f>"0001101507"</f>
        <v>0001101507</v>
      </c>
      <c r="C688" t="str">
        <f t="shared" si="190"/>
        <v xml:space="preserve">TR40/24 </v>
      </c>
      <c r="D688" t="str">
        <f>"76"</f>
        <v>76</v>
      </c>
      <c r="E688">
        <v>6.2969999999999997</v>
      </c>
      <c r="F688">
        <v>644</v>
      </c>
      <c r="G688" t="str">
        <f>"1031814039"</f>
        <v>1031814039</v>
      </c>
      <c r="H688" t="str">
        <f t="shared" si="189"/>
        <v>2025-12-04</v>
      </c>
      <c r="I688" t="str">
        <f>"2512049321"</f>
        <v>2512049321</v>
      </c>
      <c r="J688" t="str">
        <f t="shared" si="188"/>
        <v>DELIVERED</v>
      </c>
    </row>
    <row r="689" spans="1:10" x14ac:dyDescent="0.25">
      <c r="A689" t="str">
        <f>"0000114711"</f>
        <v>0000114711</v>
      </c>
      <c r="B689" t="str">
        <f>"0001101507"</f>
        <v>0001101507</v>
      </c>
      <c r="C689" t="str">
        <f t="shared" si="190"/>
        <v xml:space="preserve">TR40/24 </v>
      </c>
      <c r="D689" t="str">
        <f>"76"</f>
        <v>76</v>
      </c>
      <c r="E689">
        <v>1.347</v>
      </c>
      <c r="F689">
        <v>439</v>
      </c>
      <c r="G689" t="str">
        <f>"1031816976"</f>
        <v>1031816976</v>
      </c>
      <c r="H689" t="str">
        <f t="shared" si="189"/>
        <v>2025-12-04</v>
      </c>
      <c r="I689" t="str">
        <f>"2512049321"</f>
        <v>2512049321</v>
      </c>
      <c r="J689" t="str">
        <f t="shared" si="188"/>
        <v>DELIVERED</v>
      </c>
    </row>
    <row r="690" spans="1:10" x14ac:dyDescent="0.25">
      <c r="A690" t="str">
        <f>"0000114714"</f>
        <v>0000114714</v>
      </c>
      <c r="B690" t="str">
        <f>"0001104903"</f>
        <v>0001104903</v>
      </c>
      <c r="C690" t="str">
        <f t="shared" si="190"/>
        <v xml:space="preserve">TR40/24 </v>
      </c>
      <c r="D690" t="str">
        <f>"23"</f>
        <v>23</v>
      </c>
      <c r="E690">
        <v>5</v>
      </c>
      <c r="F690">
        <v>2068</v>
      </c>
      <c r="G690" t="str">
        <f>"1031816779"</f>
        <v>1031816779</v>
      </c>
      <c r="H690" t="str">
        <f t="shared" si="189"/>
        <v>2025-12-04</v>
      </c>
      <c r="I690" t="str">
        <f>"2512049138"</f>
        <v>2512049138</v>
      </c>
      <c r="J690" t="str">
        <f t="shared" si="188"/>
        <v>DELIVERED</v>
      </c>
    </row>
    <row r="691" spans="1:10" x14ac:dyDescent="0.25">
      <c r="A691" t="str">
        <f>"0000114731"</f>
        <v>0000114731</v>
      </c>
      <c r="B691" t="str">
        <f>"0001102806"</f>
        <v>0001102806</v>
      </c>
      <c r="C691" t="str">
        <f t="shared" si="190"/>
        <v xml:space="preserve">TR40/24 </v>
      </c>
      <c r="D691" t="str">
        <f>"46"</f>
        <v>46</v>
      </c>
      <c r="E691">
        <v>7.0860000000000003</v>
      </c>
      <c r="F691">
        <v>5000</v>
      </c>
      <c r="G691" t="str">
        <f>"1031809627"</f>
        <v>1031809627</v>
      </c>
      <c r="H691" t="str">
        <f t="shared" si="189"/>
        <v>2025-12-04</v>
      </c>
      <c r="I691" t="str">
        <f>"2512038798"</f>
        <v>2512038798</v>
      </c>
      <c r="J691" t="str">
        <f t="shared" si="188"/>
        <v>DELIVERED</v>
      </c>
    </row>
    <row r="692" spans="1:10" x14ac:dyDescent="0.25">
      <c r="A692" t="str">
        <f>"0000114731"</f>
        <v>0000114731</v>
      </c>
      <c r="B692" t="str">
        <f>"0001102806"</f>
        <v>0001102806</v>
      </c>
      <c r="C692" t="str">
        <f t="shared" si="190"/>
        <v xml:space="preserve">TR40/24 </v>
      </c>
      <c r="D692" t="str">
        <f>"46"</f>
        <v>46</v>
      </c>
      <c r="E692">
        <v>7.0860000000000003</v>
      </c>
      <c r="F692">
        <v>5000</v>
      </c>
      <c r="G692" t="str">
        <f>"1031809628"</f>
        <v>1031809628</v>
      </c>
      <c r="H692" t="str">
        <f t="shared" si="189"/>
        <v>2025-12-04</v>
      </c>
      <c r="I692" t="str">
        <f>"2512038798"</f>
        <v>2512038798</v>
      </c>
      <c r="J692" t="str">
        <f t="shared" si="188"/>
        <v>DELIVERED</v>
      </c>
    </row>
    <row r="693" spans="1:10" x14ac:dyDescent="0.25">
      <c r="A693" t="str">
        <f>"0000114749"</f>
        <v>0000114749</v>
      </c>
      <c r="B693" t="str">
        <f>"0001104909"</f>
        <v>0001104909</v>
      </c>
      <c r="C693" t="str">
        <f t="shared" si="190"/>
        <v xml:space="preserve">TR40/24 </v>
      </c>
      <c r="D693" t="str">
        <f>"50"</f>
        <v>50</v>
      </c>
      <c r="E693">
        <v>15.438000000000001</v>
      </c>
      <c r="F693">
        <v>4249</v>
      </c>
      <c r="G693" t="str">
        <f>"1031816783"</f>
        <v>1031816783</v>
      </c>
      <c r="H693" t="str">
        <f t="shared" si="189"/>
        <v>2025-12-04</v>
      </c>
      <c r="I693" t="str">
        <f>"2512049137"</f>
        <v>2512049137</v>
      </c>
      <c r="J693" t="str">
        <f t="shared" si="188"/>
        <v>DELIVERED</v>
      </c>
    </row>
    <row r="694" spans="1:10" x14ac:dyDescent="0.25">
      <c r="A694" t="str">
        <f>"0000114755"</f>
        <v>0000114755</v>
      </c>
      <c r="B694" t="str">
        <f>"0001102952"</f>
        <v>0001102952</v>
      </c>
      <c r="C694" t="str">
        <f t="shared" si="190"/>
        <v xml:space="preserve">TR40/24 </v>
      </c>
      <c r="D694" t="str">
        <f>"54"</f>
        <v>54</v>
      </c>
      <c r="E694">
        <v>3.395</v>
      </c>
      <c r="F694">
        <v>906</v>
      </c>
      <c r="G694" t="str">
        <f>"1031814946"</f>
        <v>1031814946</v>
      </c>
      <c r="H694" t="str">
        <f t="shared" si="189"/>
        <v>2025-12-04</v>
      </c>
      <c r="I694" t="str">
        <f>"2512049328"</f>
        <v>2512049328</v>
      </c>
      <c r="J694" t="str">
        <f t="shared" si="188"/>
        <v>DELIVERED</v>
      </c>
    </row>
    <row r="695" spans="1:10" x14ac:dyDescent="0.25">
      <c r="A695" t="str">
        <f>"0000114755"</f>
        <v>0000114755</v>
      </c>
      <c r="B695" t="str">
        <f>"0001102952"</f>
        <v>0001102952</v>
      </c>
      <c r="C695" t="str">
        <f t="shared" si="190"/>
        <v xml:space="preserve">TR40/24 </v>
      </c>
      <c r="D695" t="str">
        <f>"54"</f>
        <v>54</v>
      </c>
      <c r="E695">
        <v>2.306</v>
      </c>
      <c r="F695">
        <v>660</v>
      </c>
      <c r="G695" t="str">
        <f>"1031814966"</f>
        <v>1031814966</v>
      </c>
      <c r="H695" t="str">
        <f t="shared" si="189"/>
        <v>2025-12-04</v>
      </c>
      <c r="I695" t="str">
        <f>"2512049328"</f>
        <v>2512049328</v>
      </c>
      <c r="J695" t="str">
        <f t="shared" si="188"/>
        <v>DELIVERED</v>
      </c>
    </row>
    <row r="696" spans="1:10" x14ac:dyDescent="0.25">
      <c r="A696" t="str">
        <f>"0000114755"</f>
        <v>0000114755</v>
      </c>
      <c r="B696" t="str">
        <f>"0001102952"</f>
        <v>0001102952</v>
      </c>
      <c r="C696" t="str">
        <f t="shared" si="190"/>
        <v xml:space="preserve">TR40/24 </v>
      </c>
      <c r="D696" t="str">
        <f>"54"</f>
        <v>54</v>
      </c>
      <c r="E696">
        <v>16.015999999999998</v>
      </c>
      <c r="F696">
        <v>20</v>
      </c>
      <c r="G696" t="str">
        <f>"1031816803"</f>
        <v>1031816803</v>
      </c>
      <c r="H696" t="str">
        <f t="shared" si="189"/>
        <v>2025-12-04</v>
      </c>
      <c r="I696" t="str">
        <f>"2512049328"</f>
        <v>2512049328</v>
      </c>
      <c r="J696" t="str">
        <f t="shared" si="188"/>
        <v>DELIVERED</v>
      </c>
    </row>
    <row r="697" spans="1:10" x14ac:dyDescent="0.25">
      <c r="A697" t="str">
        <f>"0000114755"</f>
        <v>0000114755</v>
      </c>
      <c r="B697" t="str">
        <f>"0001102952"</f>
        <v>0001102952</v>
      </c>
      <c r="C697" t="str">
        <f t="shared" si="190"/>
        <v xml:space="preserve">TR40/24 </v>
      </c>
      <c r="D697" t="str">
        <f>"54"</f>
        <v>54</v>
      </c>
      <c r="E697">
        <v>2.2650000000000001</v>
      </c>
      <c r="F697">
        <v>863</v>
      </c>
      <c r="G697" t="str">
        <f>"1031817396"</f>
        <v>1031817396</v>
      </c>
      <c r="H697" t="str">
        <f t="shared" si="189"/>
        <v>2025-12-04</v>
      </c>
      <c r="I697" t="str">
        <f>"2512049328"</f>
        <v>2512049328</v>
      </c>
      <c r="J697" t="str">
        <f t="shared" si="188"/>
        <v>DELIVERED</v>
      </c>
    </row>
    <row r="698" spans="1:10" x14ac:dyDescent="0.25">
      <c r="A698" t="str">
        <f>"0000114797"</f>
        <v>0000114797</v>
      </c>
      <c r="B698" t="str">
        <f>"0001104127"</f>
        <v>0001104127</v>
      </c>
      <c r="C698" t="str">
        <f t="shared" si="190"/>
        <v xml:space="preserve">TR40/24 </v>
      </c>
      <c r="D698" t="str">
        <f>"73"</f>
        <v>73</v>
      </c>
      <c r="E698">
        <v>4.8000000000000001E-2</v>
      </c>
      <c r="F698">
        <v>18</v>
      </c>
      <c r="G698" t="str">
        <f>"1031815743"</f>
        <v>1031815743</v>
      </c>
      <c r="H698" t="str">
        <f t="shared" si="189"/>
        <v>2025-12-04</v>
      </c>
      <c r="I698" t="str">
        <f>"2512049527"</f>
        <v>2512049527</v>
      </c>
      <c r="J698" t="str">
        <f>"NOT DELIVERED"</f>
        <v>NOT DELIVERED</v>
      </c>
    </row>
    <row r="699" spans="1:10" x14ac:dyDescent="0.25">
      <c r="A699" t="str">
        <f>"0000114797"</f>
        <v>0000114797</v>
      </c>
      <c r="B699" t="str">
        <f>"0001104127"</f>
        <v>0001104127</v>
      </c>
      <c r="C699" t="str">
        <f t="shared" si="190"/>
        <v xml:space="preserve">TR40/24 </v>
      </c>
      <c r="D699" t="str">
        <f>"73"</f>
        <v>73</v>
      </c>
      <c r="E699">
        <v>4.8000000000000001E-2</v>
      </c>
      <c r="F699">
        <v>18</v>
      </c>
      <c r="G699" t="str">
        <f>"1031815748"</f>
        <v>1031815748</v>
      </c>
      <c r="H699" t="str">
        <f t="shared" si="189"/>
        <v>2025-12-04</v>
      </c>
      <c r="I699" t="str">
        <f>"2512049527"</f>
        <v>2512049527</v>
      </c>
      <c r="J699" t="str">
        <f>"NOT DELIVERED"</f>
        <v>NOT DELIVERED</v>
      </c>
    </row>
    <row r="700" spans="1:10" x14ac:dyDescent="0.25">
      <c r="A700" t="str">
        <f>"0000114873"</f>
        <v>0000114873</v>
      </c>
      <c r="B700" t="str">
        <f>"0001101231"</f>
        <v>0001101231</v>
      </c>
      <c r="C700" t="str">
        <f t="shared" si="190"/>
        <v xml:space="preserve">TR40/24 </v>
      </c>
      <c r="D700" t="str">
        <f>"81"</f>
        <v>81</v>
      </c>
      <c r="E700">
        <v>49.771000000000001</v>
      </c>
      <c r="F700">
        <v>11370</v>
      </c>
      <c r="G700" t="str">
        <f>"1031815693"</f>
        <v>1031815693</v>
      </c>
      <c r="H700" t="str">
        <f t="shared" si="189"/>
        <v>2025-12-04</v>
      </c>
      <c r="I700" t="str">
        <f>"2512049324"</f>
        <v>2512049324</v>
      </c>
      <c r="J700" t="str">
        <f t="shared" ref="J700:J710" si="191">"DELIVERED"</f>
        <v>DELIVERED</v>
      </c>
    </row>
    <row r="701" spans="1:10" x14ac:dyDescent="0.25">
      <c r="A701" t="str">
        <f t="shared" ref="A701:A706" si="192">"0000114894"</f>
        <v>0000114894</v>
      </c>
      <c r="B701" t="str">
        <f>"0001104958"</f>
        <v>0001104958</v>
      </c>
      <c r="C701" t="str">
        <f t="shared" si="190"/>
        <v xml:space="preserve">TR40/24 </v>
      </c>
      <c r="D701" t="str">
        <f t="shared" ref="D701:D706" si="193">"99"</f>
        <v>99</v>
      </c>
      <c r="E701">
        <v>15.476000000000001</v>
      </c>
      <c r="F701">
        <v>3240</v>
      </c>
      <c r="G701" t="str">
        <f>"1031813148"</f>
        <v>1031813148</v>
      </c>
      <c r="H701" t="str">
        <f t="shared" si="189"/>
        <v>2025-12-04</v>
      </c>
      <c r="I701" t="str">
        <f>"2512049352"</f>
        <v>2512049352</v>
      </c>
      <c r="J701" t="str">
        <f t="shared" si="191"/>
        <v>DELIVERED</v>
      </c>
    </row>
    <row r="702" spans="1:10" x14ac:dyDescent="0.25">
      <c r="A702" t="str">
        <f t="shared" si="192"/>
        <v>0000114894</v>
      </c>
      <c r="B702" t="str">
        <f>"0001104958"</f>
        <v>0001104958</v>
      </c>
      <c r="C702" t="str">
        <f t="shared" si="190"/>
        <v xml:space="preserve">TR40/24 </v>
      </c>
      <c r="D702" t="str">
        <f t="shared" si="193"/>
        <v>99</v>
      </c>
      <c r="E702">
        <v>19.462</v>
      </c>
      <c r="F702">
        <v>706</v>
      </c>
      <c r="G702" t="str">
        <f>"1031813167"</f>
        <v>1031813167</v>
      </c>
      <c r="H702" t="str">
        <f t="shared" si="189"/>
        <v>2025-12-04</v>
      </c>
      <c r="I702" t="str">
        <f>"2512017397"</f>
        <v>2512017397</v>
      </c>
      <c r="J702" t="str">
        <f t="shared" si="191"/>
        <v>DELIVERED</v>
      </c>
    </row>
    <row r="703" spans="1:10" x14ac:dyDescent="0.25">
      <c r="A703" t="str">
        <f t="shared" si="192"/>
        <v>0000114894</v>
      </c>
      <c r="B703" t="str">
        <f>"0001105001"</f>
        <v>0001105001</v>
      </c>
      <c r="C703" t="str">
        <f t="shared" si="190"/>
        <v xml:space="preserve">TR40/24 </v>
      </c>
      <c r="D703" t="str">
        <f t="shared" si="193"/>
        <v>99</v>
      </c>
      <c r="E703">
        <v>3.839</v>
      </c>
      <c r="F703">
        <v>155</v>
      </c>
      <c r="G703" t="str">
        <f>"1031813979"</f>
        <v>1031813979</v>
      </c>
      <c r="H703" t="str">
        <f t="shared" si="189"/>
        <v>2025-12-04</v>
      </c>
      <c r="I703" t="str">
        <f>"2512049687"</f>
        <v>2512049687</v>
      </c>
      <c r="J703" t="str">
        <f t="shared" si="191"/>
        <v>DELIVERED</v>
      </c>
    </row>
    <row r="704" spans="1:10" x14ac:dyDescent="0.25">
      <c r="A704" t="str">
        <f t="shared" si="192"/>
        <v>0000114894</v>
      </c>
      <c r="B704" t="str">
        <f>"0001105001"</f>
        <v>0001105001</v>
      </c>
      <c r="C704" t="str">
        <f t="shared" si="190"/>
        <v xml:space="preserve">TR40/24 </v>
      </c>
      <c r="D704" t="str">
        <f t="shared" si="193"/>
        <v>99</v>
      </c>
      <c r="E704">
        <v>26.672999999999998</v>
      </c>
      <c r="F704">
        <v>939</v>
      </c>
      <c r="G704" t="str">
        <f>"1031813980"</f>
        <v>1031813980</v>
      </c>
      <c r="H704" t="str">
        <f t="shared" si="189"/>
        <v>2025-12-04</v>
      </c>
      <c r="I704" t="str">
        <f>"2512017395"</f>
        <v>2512017395</v>
      </c>
      <c r="J704" t="str">
        <f t="shared" si="191"/>
        <v>DELIVERED</v>
      </c>
    </row>
    <row r="705" spans="1:10" x14ac:dyDescent="0.25">
      <c r="A705" t="str">
        <f t="shared" si="192"/>
        <v>0000114894</v>
      </c>
      <c r="B705" t="str">
        <f>"0001105001"</f>
        <v>0001105001</v>
      </c>
      <c r="C705" t="str">
        <f t="shared" si="190"/>
        <v xml:space="preserve">TR40/24 </v>
      </c>
      <c r="D705" t="str">
        <f t="shared" si="193"/>
        <v>99</v>
      </c>
      <c r="E705">
        <v>22.86</v>
      </c>
      <c r="F705">
        <v>839</v>
      </c>
      <c r="G705" t="str">
        <f>"1031814591"</f>
        <v>1031814591</v>
      </c>
      <c r="H705" t="str">
        <f t="shared" si="189"/>
        <v>2025-12-04</v>
      </c>
      <c r="I705" t="str">
        <f>"2512049687"</f>
        <v>2512049687</v>
      </c>
      <c r="J705" t="str">
        <f t="shared" si="191"/>
        <v>DELIVERED</v>
      </c>
    </row>
    <row r="706" spans="1:10" x14ac:dyDescent="0.25">
      <c r="A706" t="str">
        <f t="shared" si="192"/>
        <v>0000114894</v>
      </c>
      <c r="B706" t="str">
        <f>"0001105001"</f>
        <v>0001105001</v>
      </c>
      <c r="C706" t="str">
        <f t="shared" si="190"/>
        <v xml:space="preserve">TR40/24 </v>
      </c>
      <c r="D706" t="str">
        <f t="shared" si="193"/>
        <v>99</v>
      </c>
      <c r="E706">
        <v>9.7000000000000003E-2</v>
      </c>
      <c r="F706">
        <v>22</v>
      </c>
      <c r="G706" t="str">
        <f>"1031816780"</f>
        <v>1031816780</v>
      </c>
      <c r="H706" t="str">
        <f t="shared" si="189"/>
        <v>2025-12-04</v>
      </c>
      <c r="I706" t="str">
        <f>"2512049687"</f>
        <v>2512049687</v>
      </c>
      <c r="J706" t="str">
        <f t="shared" si="191"/>
        <v>DELIVERED</v>
      </c>
    </row>
    <row r="707" spans="1:10" x14ac:dyDescent="0.25">
      <c r="A707" t="str">
        <f>"0000114915"</f>
        <v>0000114915</v>
      </c>
      <c r="B707" t="str">
        <f>"0001101266"</f>
        <v>0001101266</v>
      </c>
      <c r="C707" t="str">
        <f t="shared" si="190"/>
        <v xml:space="preserve">TR40/24 </v>
      </c>
      <c r="D707" t="str">
        <f>"11"</f>
        <v>11</v>
      </c>
      <c r="E707">
        <v>0.02</v>
      </c>
      <c r="F707">
        <v>20</v>
      </c>
      <c r="G707" t="str">
        <f>"1031816259"</f>
        <v>1031816259</v>
      </c>
      <c r="H707" t="str">
        <f t="shared" si="189"/>
        <v>2025-12-04</v>
      </c>
      <c r="I707" t="str">
        <f>"2512018466"</f>
        <v>2512018466</v>
      </c>
      <c r="J707" t="str">
        <f t="shared" si="191"/>
        <v>DELIVERED</v>
      </c>
    </row>
    <row r="708" spans="1:10" x14ac:dyDescent="0.25">
      <c r="A708" t="str">
        <f>"0000114986"</f>
        <v>0000114986</v>
      </c>
      <c r="B708" t="str">
        <f>"0001104923"</f>
        <v>0001104923</v>
      </c>
      <c r="C708" t="str">
        <f t="shared" si="190"/>
        <v xml:space="preserve">TR40/24 </v>
      </c>
      <c r="D708" t="str">
        <f>"46"</f>
        <v>46</v>
      </c>
      <c r="E708">
        <v>37.880000000000003</v>
      </c>
      <c r="F708">
        <v>540</v>
      </c>
      <c r="G708" t="str">
        <f>"1031815210"</f>
        <v>1031815210</v>
      </c>
      <c r="H708" t="str">
        <f t="shared" si="189"/>
        <v>2025-12-04</v>
      </c>
      <c r="I708" t="str">
        <f>"2512049314"</f>
        <v>2512049314</v>
      </c>
      <c r="J708" t="str">
        <f t="shared" si="191"/>
        <v>DELIVERED</v>
      </c>
    </row>
    <row r="709" spans="1:10" x14ac:dyDescent="0.25">
      <c r="A709" t="str">
        <f>"0000114986"</f>
        <v>0000114986</v>
      </c>
      <c r="B709" t="str">
        <f>"0001104923"</f>
        <v>0001104923</v>
      </c>
      <c r="C709" t="str">
        <f t="shared" si="190"/>
        <v xml:space="preserve">TR40/24 </v>
      </c>
      <c r="D709" t="str">
        <f>"46"</f>
        <v>46</v>
      </c>
      <c r="E709">
        <v>49.801000000000002</v>
      </c>
      <c r="F709">
        <v>673</v>
      </c>
      <c r="G709" t="str">
        <f>"1031815252"</f>
        <v>1031815252</v>
      </c>
      <c r="H709" t="str">
        <f t="shared" ref="H709:H722" si="194">"2025-12-04"</f>
        <v>2025-12-04</v>
      </c>
      <c r="I709" t="str">
        <f>"2512038918"</f>
        <v>2512038918</v>
      </c>
      <c r="J709" t="str">
        <f t="shared" si="191"/>
        <v>DELIVERED</v>
      </c>
    </row>
    <row r="710" spans="1:10" x14ac:dyDescent="0.25">
      <c r="A710" t="str">
        <f>"0000114986"</f>
        <v>0000114986</v>
      </c>
      <c r="B710" t="str">
        <f>"0001104923"</f>
        <v>0001104923</v>
      </c>
      <c r="C710" t="str">
        <f t="shared" si="190"/>
        <v xml:space="preserve">TR40/24 </v>
      </c>
      <c r="D710" t="str">
        <f>"46"</f>
        <v>46</v>
      </c>
      <c r="E710">
        <v>7.1280000000000001</v>
      </c>
      <c r="F710">
        <v>616</v>
      </c>
      <c r="G710" t="str">
        <f>"1031815820"</f>
        <v>1031815820</v>
      </c>
      <c r="H710" t="str">
        <f t="shared" si="194"/>
        <v>2025-12-04</v>
      </c>
      <c r="I710" t="str">
        <f>"2512049306"</f>
        <v>2512049306</v>
      </c>
      <c r="J710" t="str">
        <f t="shared" si="191"/>
        <v>DELIVERED</v>
      </c>
    </row>
    <row r="711" spans="1:10" x14ac:dyDescent="0.25">
      <c r="A711" t="str">
        <f>"0000115002"</f>
        <v>0000115002</v>
      </c>
      <c r="B711" t="str">
        <f>"0001101431"</f>
        <v>0001101431</v>
      </c>
      <c r="C711" t="str">
        <f t="shared" si="190"/>
        <v xml:space="preserve">TR40/24 </v>
      </c>
      <c r="D711" t="str">
        <f>"63"</f>
        <v>63</v>
      </c>
      <c r="E711">
        <v>20.001000000000001</v>
      </c>
      <c r="F711">
        <v>7031</v>
      </c>
      <c r="G711" t="str">
        <f>"1031814564"</f>
        <v>1031814564</v>
      </c>
      <c r="H711" t="str">
        <f t="shared" si="194"/>
        <v>2025-12-04</v>
      </c>
      <c r="I711" t="str">
        <f>"2511287289"</f>
        <v>2511287289</v>
      </c>
      <c r="J711" t="str">
        <f>"NOT DELIVERED"</f>
        <v>NOT DELIVERED</v>
      </c>
    </row>
    <row r="712" spans="1:10" x14ac:dyDescent="0.25">
      <c r="A712" t="str">
        <f>"0000115002"</f>
        <v>0000115002</v>
      </c>
      <c r="B712" t="str">
        <f>"0001101431"</f>
        <v>0001101431</v>
      </c>
      <c r="C712" t="str">
        <f t="shared" si="190"/>
        <v xml:space="preserve">TR40/24 </v>
      </c>
      <c r="D712" t="str">
        <f>"63"</f>
        <v>63</v>
      </c>
      <c r="E712">
        <v>20.001000000000001</v>
      </c>
      <c r="F712">
        <v>7070</v>
      </c>
      <c r="G712" t="str">
        <f>"1031814567"</f>
        <v>1031814567</v>
      </c>
      <c r="H712" t="str">
        <f t="shared" si="194"/>
        <v>2025-12-04</v>
      </c>
      <c r="I712" t="str">
        <f>"2511287288"</f>
        <v>2511287288</v>
      </c>
      <c r="J712" t="str">
        <f>"DELIVERED"</f>
        <v>DELIVERED</v>
      </c>
    </row>
    <row r="713" spans="1:10" x14ac:dyDescent="0.25">
      <c r="A713" t="str">
        <f>"0000115002"</f>
        <v>0000115002</v>
      </c>
      <c r="B713" t="str">
        <f>"0001101431"</f>
        <v>0001101431</v>
      </c>
      <c r="C713" t="str">
        <f t="shared" si="190"/>
        <v xml:space="preserve">TR40/24 </v>
      </c>
      <c r="D713" t="str">
        <f>"63"</f>
        <v>63</v>
      </c>
      <c r="E713">
        <v>19.998999999999999</v>
      </c>
      <c r="F713">
        <v>7468</v>
      </c>
      <c r="G713" t="str">
        <f>"1031814571"</f>
        <v>1031814571</v>
      </c>
      <c r="H713" t="str">
        <f t="shared" si="194"/>
        <v>2025-12-04</v>
      </c>
      <c r="I713" t="str">
        <f>"2511287287"</f>
        <v>2511287287</v>
      </c>
      <c r="J713" t="str">
        <f>"DELIVERED"</f>
        <v>DELIVERED</v>
      </c>
    </row>
    <row r="714" spans="1:10" x14ac:dyDescent="0.25">
      <c r="A714" t="str">
        <f>"0000115035"</f>
        <v>0000115035</v>
      </c>
      <c r="B714" t="str">
        <f>"0001103664"</f>
        <v>0001103664</v>
      </c>
      <c r="C714" t="str">
        <f t="shared" si="190"/>
        <v xml:space="preserve">TR40/24 </v>
      </c>
      <c r="D714" t="str">
        <f>"31"</f>
        <v>31</v>
      </c>
      <c r="E714">
        <v>5.9630000000000001</v>
      </c>
      <c r="F714">
        <v>9159</v>
      </c>
      <c r="G714" t="str">
        <f>"1031813261"</f>
        <v>1031813261</v>
      </c>
      <c r="H714" t="str">
        <f t="shared" si="194"/>
        <v>2025-12-04</v>
      </c>
      <c r="I714" t="str">
        <f>"2512049380"</f>
        <v>2512049380</v>
      </c>
      <c r="J714" t="str">
        <f>"DELIVERED"</f>
        <v>DELIVERED</v>
      </c>
    </row>
    <row r="715" spans="1:10" x14ac:dyDescent="0.25">
      <c r="A715" t="str">
        <f>"0000115035"</f>
        <v>0000115035</v>
      </c>
      <c r="B715" t="str">
        <f>"0001103664"</f>
        <v>0001103664</v>
      </c>
      <c r="C715" t="str">
        <f t="shared" si="190"/>
        <v xml:space="preserve">TR40/24 </v>
      </c>
      <c r="D715" t="str">
        <f>"31"</f>
        <v>31</v>
      </c>
      <c r="E715">
        <v>0.58399999999999996</v>
      </c>
      <c r="F715">
        <v>400</v>
      </c>
      <c r="G715" t="str">
        <f>"1031814337"</f>
        <v>1031814337</v>
      </c>
      <c r="H715" t="str">
        <f t="shared" si="194"/>
        <v>2025-12-04</v>
      </c>
      <c r="I715" t="str">
        <f>"2512049380"</f>
        <v>2512049380</v>
      </c>
      <c r="J715" t="str">
        <f>"DELIVERED"</f>
        <v>DELIVERED</v>
      </c>
    </row>
    <row r="716" spans="1:10" x14ac:dyDescent="0.25">
      <c r="A716" t="str">
        <f t="shared" ref="A716:A721" si="195">"0000115038"</f>
        <v>0000115038</v>
      </c>
      <c r="B716" t="str">
        <f t="shared" ref="B716:B721" si="196">"0001101481"</f>
        <v>0001101481</v>
      </c>
      <c r="C716" t="str">
        <f t="shared" ref="C716:C722" si="197">"HC      "</f>
        <v xml:space="preserve">HC      </v>
      </c>
      <c r="D716" t="str">
        <f t="shared" ref="D716:D721" si="198">"99"</f>
        <v>99</v>
      </c>
      <c r="E716">
        <v>2.4E-2</v>
      </c>
      <c r="F716">
        <v>5</v>
      </c>
      <c r="G716" t="str">
        <f>"1031815519"</f>
        <v>1031815519</v>
      </c>
      <c r="H716" t="str">
        <f t="shared" si="194"/>
        <v>2025-12-04</v>
      </c>
      <c r="I716" t="str">
        <f t="shared" ref="I716:I721" si="199">"2512049190"</f>
        <v>2512049190</v>
      </c>
      <c r="J716" t="str">
        <f t="shared" ref="J716:J721" si="200">"NOT DELIVERED"</f>
        <v>NOT DELIVERED</v>
      </c>
    </row>
    <row r="717" spans="1:10" x14ac:dyDescent="0.25">
      <c r="A717" t="str">
        <f t="shared" si="195"/>
        <v>0000115038</v>
      </c>
      <c r="B717" t="str">
        <f t="shared" si="196"/>
        <v>0001101481</v>
      </c>
      <c r="C717" t="str">
        <f t="shared" si="197"/>
        <v xml:space="preserve">HC      </v>
      </c>
      <c r="D717" t="str">
        <f t="shared" si="198"/>
        <v>99</v>
      </c>
      <c r="E717">
        <v>45.088000000000001</v>
      </c>
      <c r="F717">
        <v>60</v>
      </c>
      <c r="G717" t="str">
        <f>"1031815520"</f>
        <v>1031815520</v>
      </c>
      <c r="H717" t="str">
        <f t="shared" si="194"/>
        <v>2025-12-04</v>
      </c>
      <c r="I717" t="str">
        <f t="shared" si="199"/>
        <v>2512049190</v>
      </c>
      <c r="J717" t="str">
        <f t="shared" si="200"/>
        <v>NOT DELIVERED</v>
      </c>
    </row>
    <row r="718" spans="1:10" x14ac:dyDescent="0.25">
      <c r="A718" t="str">
        <f t="shared" si="195"/>
        <v>0000115038</v>
      </c>
      <c r="B718" t="str">
        <f t="shared" si="196"/>
        <v>0001101481</v>
      </c>
      <c r="C718" t="str">
        <f t="shared" si="197"/>
        <v xml:space="preserve">HC      </v>
      </c>
      <c r="D718" t="str">
        <f t="shared" si="198"/>
        <v>99</v>
      </c>
      <c r="E718">
        <v>2.4E-2</v>
      </c>
      <c r="F718">
        <v>5</v>
      </c>
      <c r="G718" t="str">
        <f>"1031815521"</f>
        <v>1031815521</v>
      </c>
      <c r="H718" t="str">
        <f t="shared" si="194"/>
        <v>2025-12-04</v>
      </c>
      <c r="I718" t="str">
        <f t="shared" si="199"/>
        <v>2512049190</v>
      </c>
      <c r="J718" t="str">
        <f t="shared" si="200"/>
        <v>NOT DELIVERED</v>
      </c>
    </row>
    <row r="719" spans="1:10" x14ac:dyDescent="0.25">
      <c r="A719" t="str">
        <f t="shared" si="195"/>
        <v>0000115038</v>
      </c>
      <c r="B719" t="str">
        <f t="shared" si="196"/>
        <v>0001101481</v>
      </c>
      <c r="C719" t="str">
        <f t="shared" si="197"/>
        <v xml:space="preserve">HC      </v>
      </c>
      <c r="D719" t="str">
        <f t="shared" si="198"/>
        <v>99</v>
      </c>
      <c r="E719">
        <v>45.088000000000001</v>
      </c>
      <c r="F719">
        <v>60</v>
      </c>
      <c r="G719" t="str">
        <f>"1031815522"</f>
        <v>1031815522</v>
      </c>
      <c r="H719" t="str">
        <f t="shared" si="194"/>
        <v>2025-12-04</v>
      </c>
      <c r="I719" t="str">
        <f t="shared" si="199"/>
        <v>2512049190</v>
      </c>
      <c r="J719" t="str">
        <f t="shared" si="200"/>
        <v>NOT DELIVERED</v>
      </c>
    </row>
    <row r="720" spans="1:10" x14ac:dyDescent="0.25">
      <c r="A720" t="str">
        <f t="shared" si="195"/>
        <v>0000115038</v>
      </c>
      <c r="B720" t="str">
        <f t="shared" si="196"/>
        <v>0001101481</v>
      </c>
      <c r="C720" t="str">
        <f t="shared" si="197"/>
        <v xml:space="preserve">HC      </v>
      </c>
      <c r="D720" t="str">
        <f t="shared" si="198"/>
        <v>99</v>
      </c>
      <c r="E720">
        <v>2.4E-2</v>
      </c>
      <c r="F720">
        <v>5</v>
      </c>
      <c r="G720" t="str">
        <f>"1031815523"</f>
        <v>1031815523</v>
      </c>
      <c r="H720" t="str">
        <f t="shared" si="194"/>
        <v>2025-12-04</v>
      </c>
      <c r="I720" t="str">
        <f t="shared" si="199"/>
        <v>2512049190</v>
      </c>
      <c r="J720" t="str">
        <f t="shared" si="200"/>
        <v>NOT DELIVERED</v>
      </c>
    </row>
    <row r="721" spans="1:10" x14ac:dyDescent="0.25">
      <c r="A721" t="str">
        <f t="shared" si="195"/>
        <v>0000115038</v>
      </c>
      <c r="B721" t="str">
        <f t="shared" si="196"/>
        <v>0001101481</v>
      </c>
      <c r="C721" t="str">
        <f t="shared" si="197"/>
        <v xml:space="preserve">HC      </v>
      </c>
      <c r="D721" t="str">
        <f t="shared" si="198"/>
        <v>99</v>
      </c>
      <c r="E721">
        <v>45.088000000000001</v>
      </c>
      <c r="F721">
        <v>60</v>
      </c>
      <c r="G721" t="str">
        <f>"1031815524"</f>
        <v>1031815524</v>
      </c>
      <c r="H721" t="str">
        <f t="shared" si="194"/>
        <v>2025-12-04</v>
      </c>
      <c r="I721" t="str">
        <f t="shared" si="199"/>
        <v>2512049190</v>
      </c>
      <c r="J721" t="str">
        <f t="shared" si="200"/>
        <v>NOT DELIVERED</v>
      </c>
    </row>
    <row r="722" spans="1:10" x14ac:dyDescent="0.25">
      <c r="A722" t="str">
        <f>"0000115054"</f>
        <v>0000115054</v>
      </c>
      <c r="B722" t="str">
        <f>"0001101266"</f>
        <v>0001101266</v>
      </c>
      <c r="C722" t="str">
        <f t="shared" si="197"/>
        <v xml:space="preserve">HC      </v>
      </c>
      <c r="D722" t="str">
        <f>"67"</f>
        <v>67</v>
      </c>
      <c r="E722">
        <v>0.98699999999999999</v>
      </c>
      <c r="F722">
        <v>254</v>
      </c>
      <c r="G722" t="str">
        <f>"1031816921"</f>
        <v>1031816921</v>
      </c>
      <c r="H722" t="str">
        <f t="shared" si="194"/>
        <v>2025-12-04</v>
      </c>
      <c r="I722" t="str">
        <f>"2512059631"</f>
        <v>2512059631</v>
      </c>
      <c r="J722" t="str">
        <f>"DELIVERED"</f>
        <v>DELIVERED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SQLT0010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Bao Chang (NatSteel)</dc:creator>
  <cp:lastModifiedBy>Zhao Bao Chang (NatSteel)</cp:lastModifiedBy>
  <dcterms:created xsi:type="dcterms:W3CDTF">2025-12-05T03:49:58Z</dcterms:created>
  <dcterms:modified xsi:type="dcterms:W3CDTF">2025-12-05T03:49:58Z</dcterms:modified>
</cp:coreProperties>
</file>